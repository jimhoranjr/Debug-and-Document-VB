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a91591867d2460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240" windowWidth="19200" windowHeight="8052" tabRatio="915" activeTab="1"/>
  </bookViews>
  <sheets>
    <sheet name="MacroList" sheetId="178" r:id="rId1"/>
    <sheet name="Start Sheet" sheetId="22" r:id="rId2"/>
    <sheet name="Color Sheet" sheetId="181" state="hidden" r:id="rId3"/>
    <sheet name="ShapeList" sheetId="177" r:id="rId4"/>
    <sheet name="Imported Module Play" sheetId="2" r:id="rId5"/>
    <sheet name="Subroutine Map" sheetId="3" r:id="rId6"/>
    <sheet name="Notes" sheetId="4" r:id="rId7"/>
    <sheet name="Function List" sheetId="179" r:id="rId8"/>
    <sheet name="Sub List" sheetId="180" r:id="rId9"/>
    <sheet name="sheet 3" sheetId="549" r:id="rId10"/>
    <sheet name="Help Sheet" sheetId="563" r:id="rId11"/>
    <sheet name="Component Data" sheetId="621" r:id="rId12"/>
    <sheet name="Print Module" sheetId="729" r:id="rId13"/>
  </sheets>
  <functionGroups builtInGroupCount="17"/>
  <definedNames>
    <definedName name="_xlnm._FilterDatabase" localSheetId="4" hidden="1">'Imported Module Play'!$ABG$9:$ABG$98</definedName>
    <definedName name="ButtonMacros">ShapeList!$G$1:$I$42</definedName>
    <definedName name="Cb_ModSz">'Color Sheet'!$T$2:$U$31</definedName>
    <definedName name="ColorIndex">'Color Sheet'!$I$5:$J$60</definedName>
    <definedName name="ColorIndx">'Color Sheet'!$I$5:$I$60</definedName>
    <definedName name="ColWidth">'Color Sheet'!$AF2</definedName>
    <definedName name="ComponentNamesList">'Component Data'!$A$2:$A$34</definedName>
    <definedName name="FonrChoices">'Color Sheet'!$AB$2:$AD$6</definedName>
    <definedName name="Font_Sizes">'Color Sheet'!$W$3:$W$13</definedName>
    <definedName name="FontType">'Color Sheet'!$AB$2:$AB$6</definedName>
    <definedName name="Hdr_Footr">'Color Sheet'!$Z$3:$Z$4</definedName>
    <definedName name="MacrosAlpha">MacroList!$A$216:$H$305</definedName>
    <definedName name="Module">'Color Sheet'!$N$2:$S$18</definedName>
    <definedName name="_xlnm.Print_Area" localSheetId="4">'Imported Module Play'!$A$1:$C$15</definedName>
    <definedName name="PrintCtlData">'Color Sheet'!$N$2:$S$35</definedName>
    <definedName name="PrintCtlMap">'Color Sheet'!$T$2:$U$37</definedName>
    <definedName name="PrintCtlNames">'Color Sheet'!$T$2:$T$37</definedName>
    <definedName name="PrntOrientation">'Color Sheet'!$Y$7:$Y$8</definedName>
    <definedName name="Yes_No">'Color Sheet'!$Y$3:$Y$4</definedName>
  </definedNames>
  <calcPr calcId="145621" concurrentCalc="0"/>
</workbook>
</file>

<file path=xl/calcChain.xml><?xml version="1.0" encoding="utf-8"?>
<calcChain xmlns="http://schemas.openxmlformats.org/spreadsheetml/2006/main">
  <c r="J11" i="181" l="1"/>
  <c r="J12" i="181"/>
  <c r="J13" i="181"/>
  <c r="J14" i="181"/>
  <c r="J15" i="181"/>
  <c r="J16" i="181"/>
  <c r="J17" i="181"/>
  <c r="J18" i="181"/>
  <c r="J19" i="181"/>
  <c r="J20" i="181"/>
  <c r="J21" i="181"/>
  <c r="J22" i="181"/>
  <c r="J23" i="181"/>
  <c r="J24" i="181"/>
  <c r="J25" i="181"/>
  <c r="J26" i="181"/>
  <c r="J27" i="181"/>
  <c r="J28" i="181"/>
  <c r="J29" i="181"/>
  <c r="J30" i="181"/>
  <c r="J31" i="181"/>
  <c r="J32" i="181"/>
  <c r="J33" i="181"/>
  <c r="J34" i="181"/>
  <c r="J35" i="181"/>
  <c r="J36" i="181"/>
  <c r="J37" i="181"/>
  <c r="J38" i="181"/>
  <c r="J39" i="181"/>
  <c r="J40" i="181"/>
  <c r="J41" i="181"/>
  <c r="J42" i="181"/>
  <c r="J43" i="181"/>
  <c r="J44" i="181"/>
  <c r="J45" i="181"/>
  <c r="J46" i="181"/>
  <c r="J47" i="181"/>
  <c r="J48" i="181"/>
  <c r="J49" i="181"/>
  <c r="J50" i="181"/>
  <c r="J51" i="181"/>
  <c r="J52" i="181"/>
  <c r="J53" i="181"/>
  <c r="J54" i="181"/>
  <c r="J55" i="181"/>
  <c r="J56" i="181"/>
  <c r="J57" i="181"/>
  <c r="J58" i="181"/>
  <c r="J59" i="181"/>
  <c r="J60" i="181"/>
  <c r="F9" i="2"/>
  <c r="F8" i="2"/>
  <c r="F7" i="2"/>
  <c r="F5" i="2"/>
  <c r="F17" i="2"/>
  <c r="F16" i="2"/>
  <c r="F13" i="2"/>
  <c r="F15" i="2"/>
  <c r="F14" i="2"/>
  <c r="F6" i="2"/>
  <c r="I6" i="181"/>
  <c r="I7" i="181"/>
  <c r="I8" i="181"/>
  <c r="I9" i="181"/>
  <c r="I10" i="181"/>
  <c r="I11" i="181"/>
  <c r="I12" i="181"/>
  <c r="I13" i="181"/>
  <c r="I14" i="181"/>
  <c r="I15" i="181"/>
  <c r="I16" i="181"/>
  <c r="I17" i="181"/>
  <c r="I18" i="181"/>
  <c r="I19" i="181"/>
  <c r="I20" i="181"/>
  <c r="I21" i="181"/>
  <c r="I22" i="181"/>
  <c r="I23" i="181"/>
  <c r="I24" i="181"/>
  <c r="I25" i="181"/>
  <c r="I26" i="181"/>
  <c r="I27" i="181"/>
  <c r="I28" i="181"/>
  <c r="I29" i="181"/>
  <c r="I30" i="181"/>
  <c r="I31" i="181"/>
  <c r="I32" i="181"/>
  <c r="I33" i="181"/>
  <c r="I34" i="181"/>
  <c r="I35" i="181"/>
  <c r="I36" i="181"/>
  <c r="I37" i="181"/>
  <c r="I38" i="181"/>
  <c r="I39" i="181"/>
  <c r="I40" i="181"/>
  <c r="I41" i="181"/>
  <c r="I42" i="181"/>
  <c r="I43" i="181"/>
  <c r="I44" i="181"/>
  <c r="I45" i="181"/>
  <c r="I46" i="181"/>
  <c r="I47" i="181"/>
  <c r="I48" i="181"/>
  <c r="I49" i="181"/>
  <c r="I50" i="181"/>
  <c r="I51" i="181"/>
  <c r="I52" i="181"/>
  <c r="I53" i="181"/>
  <c r="I54" i="181"/>
  <c r="I55" i="181"/>
  <c r="I56" i="181"/>
  <c r="I57" i="181"/>
  <c r="I58" i="181"/>
  <c r="I59" i="181"/>
  <c r="I60" i="181"/>
  <c r="L5" i="179"/>
</calcChain>
</file>

<file path=xl/comments1.xml><?xml version="1.0" encoding="utf-8"?>
<comments xmlns="http://schemas.openxmlformats.org/spreadsheetml/2006/main">
  <authors>
    <author>Jim Horan</author>
  </authors>
  <commentList>
    <comment ref="C1" authorId="0">
      <text/>
    </comment>
    <comment ref="E1" authorId="0">
      <text/>
    </comment>
  </commentList>
</comments>
</file>

<file path=xl/sharedStrings.xml><?xml version="1.0" encoding="utf-8"?>
<sst xmlns="http://schemas.openxmlformats.org/spreadsheetml/2006/main" count="7472" uniqueCount="3753">
  <si>
    <t>This will take each of the .bas in the directory /JimExcel/VBA/Code</t>
  </si>
  <si>
    <t xml:space="preserve">imports files one at a time. Then sorts thru each Module to see what </t>
  </si>
  <si>
    <t>subroutines are call from each subroutine in the module.</t>
  </si>
  <si>
    <t xml:space="preserve">On Subroutine map Module names are blue </t>
  </si>
  <si>
    <t>Subroutine names are Red</t>
  </si>
  <si>
    <t>Call to subroutines are Black</t>
  </si>
  <si>
    <t xml:space="preserve">Add Mproject module this will export all Modules as .bas files in </t>
  </si>
  <si>
    <t>to sub directory Curr Dir/VBA /Code</t>
  </si>
  <si>
    <t>Test</t>
  </si>
  <si>
    <t>Imported Modules from Easy Flowchart (Databison)</t>
  </si>
  <si>
    <t>Since there were some named ranges had to add them to setup_worksheet sub</t>
  </si>
  <si>
    <t>effected names became named ranges which had to be addressed differently . When you named a range</t>
  </si>
  <si>
    <t>directly you can use it as a variable name when you name a range have to use Range("Named Range").value</t>
  </si>
  <si>
    <t>Imported Flowchart steps sheet.  The original example now works so off to my mods</t>
  </si>
  <si>
    <t>V1.2</t>
  </si>
  <si>
    <t>This will create a list of all Subroutines in an individual Module in a workbook</t>
  </si>
  <si>
    <t>This will facilitate creating a FlowChart for a subroutine</t>
  </si>
  <si>
    <t>Added Start Sheet as place to select function</t>
  </si>
  <si>
    <t>v1.3</t>
  </si>
  <si>
    <t xml:space="preserve">Added code to identify subroutines and good Flow Chart Lines </t>
  </si>
  <si>
    <t>v1.4</t>
  </si>
  <si>
    <t>Add_Change_Ticker</t>
  </si>
  <si>
    <t xml:space="preserve">Got most of start documenting working still need to add  code for insert  and exit Buttons. </t>
  </si>
  <si>
    <t>Maybe add Text Box to input connection ,default it to C + Next step</t>
  </si>
  <si>
    <t>Then you can adjust befort next step or exit.</t>
  </si>
  <si>
    <t xml:space="preserve">Need to add more shapes and code to deal with them </t>
  </si>
  <si>
    <t>V1.5</t>
  </si>
  <si>
    <t xml:space="preserve">This will show all worksheets in the workbook. Normally the sheets applicable to </t>
  </si>
  <si>
    <t>which ever of the above  tasks you have chosen will be displayed</t>
  </si>
  <si>
    <t>Show /edit/delet FC Sheets</t>
  </si>
  <si>
    <t>Exit button on input sheet done</t>
  </si>
  <si>
    <t>v1.6</t>
  </si>
  <si>
    <t xml:space="preserve">I think insert is working </t>
  </si>
  <si>
    <t>v1.7</t>
  </si>
  <si>
    <t xml:space="preserve">Got inserting descriptions to the right of decision boxes working </t>
  </si>
  <si>
    <t>The Diamond is too small to display the comment.</t>
  </si>
  <si>
    <t xml:space="preserve">Had problems getting comment onto the right line. This was because View </t>
  </si>
  <si>
    <t xml:space="preserve">was set to 85% which adjusts sizing of what you see but </t>
  </si>
  <si>
    <t>but with view set at 85 it shows up C36</t>
  </si>
  <si>
    <t>not the actual location of the shape, So topleft for a shape might be C31</t>
  </si>
  <si>
    <t>v1.8</t>
  </si>
  <si>
    <t xml:space="preserve">Added line numbers to shapes and commented out the Textbox margins at the bottom of </t>
  </si>
  <si>
    <t>add_flowchart_shapes. These were inhibiting shapes from displaying dialog.</t>
  </si>
  <si>
    <t xml:space="preserve">added to uf_Input Form Initialize sup to locate the Input Form in the empty space to the right </t>
  </si>
  <si>
    <t>on the screen.</t>
  </si>
  <si>
    <t>still v1.8</t>
  </si>
  <si>
    <t>Number</t>
  </si>
  <si>
    <t>Name</t>
  </si>
  <si>
    <t>Macro</t>
  </si>
  <si>
    <t>Text</t>
  </si>
  <si>
    <t>btn_RefreshQuotes1</t>
  </si>
  <si>
    <t>Refresh</t>
  </si>
  <si>
    <t>Backgroundcolor</t>
  </si>
  <si>
    <t>TurnonEventChange</t>
  </si>
  <si>
    <t>Toggle Events</t>
  </si>
  <si>
    <t>AddTicker</t>
  </si>
  <si>
    <t>CheckEventStatus</t>
  </si>
  <si>
    <t>DeleteTicker</t>
  </si>
  <si>
    <t>NewSymbolColumn</t>
  </si>
  <si>
    <t>AddNewDataColumn</t>
  </si>
  <si>
    <t>PurgeUnusedSymbols</t>
  </si>
  <si>
    <t>TestGetdata</t>
  </si>
  <si>
    <t xml:space="preserve">Historical and Daily 
Chart
</t>
  </si>
  <si>
    <t>MoveToA40</t>
  </si>
  <si>
    <t>MoveToA1</t>
  </si>
  <si>
    <t>Option Button 21842</t>
  </si>
  <si>
    <t>ToggleRefresh1</t>
  </si>
  <si>
    <t>YahooSymbolLookup</t>
  </si>
  <si>
    <t>Symbol Lookup</t>
  </si>
  <si>
    <t>btn_UF_Add_Change</t>
  </si>
  <si>
    <t>Maintenance_Tasks</t>
  </si>
  <si>
    <t>Call_uf_Options</t>
  </si>
  <si>
    <t>Button 4</t>
  </si>
  <si>
    <t>TestStockNameLookup</t>
  </si>
  <si>
    <t xml:space="preserve">Scan Colmn J for full name
</t>
  </si>
  <si>
    <t>Button 7</t>
  </si>
  <si>
    <t>CallValueGraph1</t>
  </si>
  <si>
    <t>TestYQL</t>
  </si>
  <si>
    <t>Get News</t>
  </si>
  <si>
    <t>DropDown4_Change</t>
  </si>
  <si>
    <t>Button 5</t>
  </si>
  <si>
    <t>FundamentalsScreen</t>
  </si>
  <si>
    <t>Fundamentals</t>
  </si>
  <si>
    <t>CallUpdateChart</t>
  </si>
  <si>
    <t>Update Chart</t>
  </si>
  <si>
    <t>Call_UpdateMFChart</t>
  </si>
  <si>
    <t>CallUpdateMFChart</t>
  </si>
  <si>
    <t>Refresh Chart</t>
  </si>
  <si>
    <t>Button 1</t>
  </si>
  <si>
    <t>DailyChart</t>
  </si>
  <si>
    <t>ListMacros</t>
  </si>
  <si>
    <t>Button 2</t>
  </si>
  <si>
    <t>ListofMacros1</t>
  </si>
  <si>
    <t>List Macros</t>
  </si>
  <si>
    <t>PrintSheetNamesAndRanges</t>
  </si>
  <si>
    <t>Get Named Ranges</t>
  </si>
  <si>
    <t>ReorganizeTickers</t>
  </si>
  <si>
    <t>Reorg tickers</t>
  </si>
  <si>
    <t>CDO_Mail_Small_Text</t>
  </si>
  <si>
    <t>Email Port page</t>
  </si>
  <si>
    <t>List_Shapes</t>
  </si>
  <si>
    <t>List Shapes</t>
  </si>
  <si>
    <t>Break_String</t>
  </si>
  <si>
    <t>Break</t>
  </si>
  <si>
    <t>ParseData</t>
  </si>
  <si>
    <t>Parse Data</t>
  </si>
  <si>
    <t xml:space="preserve">Break </t>
  </si>
  <si>
    <t>SheetView</t>
  </si>
  <si>
    <t>Default Views</t>
  </si>
  <si>
    <t>SheetViewShowAll</t>
  </si>
  <si>
    <t>View all sheets</t>
  </si>
  <si>
    <t>UpdateSheetView</t>
  </si>
  <si>
    <t>View Selected Sheets</t>
  </si>
  <si>
    <t>ExitSheetView</t>
  </si>
  <si>
    <t>Exit Sheet View</t>
  </si>
  <si>
    <t xml:space="preserve"> Start Line</t>
  </si>
  <si>
    <t>Workbook_beforeClose</t>
  </si>
  <si>
    <t>ThisWorkbook</t>
  </si>
  <si>
    <t>RestoreNormal</t>
  </si>
  <si>
    <t>Worksheet_SelectionChange</t>
  </si>
  <si>
    <t>Sheet1</t>
  </si>
  <si>
    <t>Worksheet_Activate</t>
  </si>
  <si>
    <t>Macro2</t>
  </si>
  <si>
    <t>RefreshQuotes</t>
  </si>
  <si>
    <t>Macro3</t>
  </si>
  <si>
    <t>CreateSymbolList</t>
  </si>
  <si>
    <t>btn_RefreshWebQuotes</t>
  </si>
  <si>
    <t>ReloadSymbols</t>
  </si>
  <si>
    <t>Backgroundcolor1</t>
  </si>
  <si>
    <t>ColorTest</t>
  </si>
  <si>
    <t>AddTicker_IfMissing</t>
  </si>
  <si>
    <t>PctBckgrndColorChange</t>
  </si>
  <si>
    <t>Worksheet_Change</t>
  </si>
  <si>
    <t>Sheet6</t>
  </si>
  <si>
    <t>ActivateRange</t>
  </si>
  <si>
    <t>ActiveRangeResponse</t>
  </si>
  <si>
    <t>PostProcessActiveRange</t>
  </si>
  <si>
    <t>AddQueryTable</t>
  </si>
  <si>
    <t>DeleteExistingARQueryTables</t>
  </si>
  <si>
    <t>ChartTicker</t>
  </si>
  <si>
    <t>UpdateCharts</t>
  </si>
  <si>
    <t>GetDataSub</t>
  </si>
  <si>
    <t>GetData</t>
  </si>
  <si>
    <t>Pull_Data</t>
  </si>
  <si>
    <t>CalcFormulaData</t>
  </si>
  <si>
    <t>ClearTickers</t>
  </si>
  <si>
    <t>AddCalcstoData</t>
  </si>
  <si>
    <t>ClearQData</t>
  </si>
  <si>
    <t>LocateDataHeaders</t>
  </si>
  <si>
    <t>CheckAddAddressok</t>
  </si>
  <si>
    <t>DeleteOldSymbol</t>
  </si>
  <si>
    <t>AddNewTicker</t>
  </si>
  <si>
    <t>Run_News</t>
  </si>
  <si>
    <t>XmlTableRange</t>
  </si>
  <si>
    <t>ScrollThruNews</t>
  </si>
  <si>
    <t>SetXmlPath</t>
  </si>
  <si>
    <t>ImportwDatabinding</t>
  </si>
  <si>
    <t>InitialYQL</t>
  </si>
  <si>
    <t>Refresh_All_Data_Connections</t>
  </si>
  <si>
    <t>Delete_Unused_Symbols</t>
  </si>
  <si>
    <t>GetYahooXMLData</t>
  </si>
  <si>
    <t>GetStockXMLData</t>
  </si>
  <si>
    <t>VolCalcs</t>
  </si>
  <si>
    <t>Vol_Calcs_Calc_TrendLines</t>
  </si>
  <si>
    <t>GenerateTrendLines</t>
  </si>
  <si>
    <t>Todays_Chart</t>
  </si>
  <si>
    <t>Macro4</t>
  </si>
  <si>
    <t>Macro5</t>
  </si>
  <si>
    <t>Get_Chart_Daily</t>
  </si>
  <si>
    <t>GetStockNamefromSymbol</t>
  </si>
  <si>
    <t>GetStockFullName</t>
  </si>
  <si>
    <t>TestStockNameLookup_onCallingSheet</t>
  </si>
  <si>
    <t>FindStockSymbol1</t>
  </si>
  <si>
    <t>FindStockSymbol</t>
  </si>
  <si>
    <t>RunWebQry</t>
  </si>
  <si>
    <t>TopLeftSelectionChange</t>
  </si>
  <si>
    <t>TestJson</t>
  </si>
  <si>
    <t>Module2</t>
  </si>
  <si>
    <t>Email_Closes</t>
  </si>
  <si>
    <t>Testemail</t>
  </si>
  <si>
    <t>StartTimer</t>
  </si>
  <si>
    <t>Email_Timer</t>
  </si>
  <si>
    <t>TheSub</t>
  </si>
  <si>
    <t>StopTimer</t>
  </si>
  <si>
    <t>MFChart</t>
  </si>
  <si>
    <t>UpdateMFChart</t>
  </si>
  <si>
    <t>Sheet_View</t>
  </si>
  <si>
    <t>EnterSheetView</t>
  </si>
  <si>
    <t>Mainenance_Module</t>
  </si>
  <si>
    <t>Callbacks_for_Ribbon</t>
  </si>
  <si>
    <t>Callback1</t>
  </si>
  <si>
    <t>Callback2</t>
  </si>
  <si>
    <t>Callback3</t>
  </si>
  <si>
    <t>Callback4</t>
  </si>
  <si>
    <t>Callback5</t>
  </si>
  <si>
    <t>ParseYahooStockLookup</t>
  </si>
  <si>
    <t>cb_Add_Chg_Click</t>
  </si>
  <si>
    <t>uf_Add_Chg</t>
  </si>
  <si>
    <t>cb_Delete_Click</t>
  </si>
  <si>
    <t>UserForm_Click</t>
  </si>
  <si>
    <t>UserForm_Initialize</t>
  </si>
  <si>
    <t>btn_Change_ScreenSize_Click</t>
  </si>
  <si>
    <t>uf_Maintenance</t>
  </si>
  <si>
    <t>cb_Add_Data_Column_Click</t>
  </si>
  <si>
    <t>cb_Add_Symbol_Column_Click</t>
  </si>
  <si>
    <t>cb_Change_Color_Coding_Click</t>
  </si>
  <si>
    <t>cb_Delete_Unused_Symbols_Click</t>
  </si>
  <si>
    <t>cb_ColorCode_Form_Update_Click</t>
  </si>
  <si>
    <t>uf_ColorCode_Form</t>
  </si>
  <si>
    <t>cb_uf_ColorCode_Form_Toggle_On_Off_Click</t>
  </si>
  <si>
    <t>Label2_Click</t>
  </si>
  <si>
    <t>TextBox1_Change</t>
  </si>
  <si>
    <t>ListofMacros</t>
  </si>
  <si>
    <t>GetTheList</t>
  </si>
  <si>
    <t>Get_Named_Ranges</t>
  </si>
  <si>
    <t>ExtractSheetName</t>
  </si>
  <si>
    <t>uf_Options</t>
  </si>
  <si>
    <t>cb_EditSymbols_Click</t>
  </si>
  <si>
    <t>cb_HistDailyChart_Click</t>
  </si>
  <si>
    <t>cb_SheetView_Click</t>
  </si>
  <si>
    <t>cb_SymbolLookup_Click</t>
  </si>
  <si>
    <t>Module3</t>
  </si>
  <si>
    <t>Aphabetic List of Macros with Mods and line #'s</t>
  </si>
  <si>
    <t>Module</t>
  </si>
  <si>
    <t xml:space="preserve"> Line #</t>
  </si>
  <si>
    <t>Range Name</t>
  </si>
  <si>
    <t>Sheet Name</t>
  </si>
  <si>
    <t xml:space="preserve">Range </t>
  </si>
  <si>
    <t>$E$4</t>
  </si>
  <si>
    <t xml:space="preserve">Added Modules </t>
  </si>
  <si>
    <t>Get_Work_Componets this request workbook to operate on . Opens it pulls all shapes from it to ShapeList</t>
  </si>
  <si>
    <t>the associated module and line number.</t>
  </si>
  <si>
    <t xml:space="preserve"> which gets Macros by module and then an alphabetic listing of Subroutines</t>
  </si>
  <si>
    <t>then calls ListofMacros1  in the added Module called ListofMacros</t>
  </si>
  <si>
    <t>v2.0</t>
  </si>
  <si>
    <t>Sub Routine</t>
  </si>
  <si>
    <t xml:space="preserve">Added code to guess wether a proceduer is a Function or a sub in Sub </t>
  </si>
  <si>
    <t>GettheList in Module List Macros</t>
  </si>
  <si>
    <t>v2.1</t>
  </si>
  <si>
    <t>Function</t>
  </si>
  <si>
    <t>Lines = 0</t>
  </si>
  <si>
    <t>Lines = 9</t>
  </si>
  <si>
    <t xml:space="preserve"> Tot Lines</t>
  </si>
  <si>
    <t xml:space="preserve"> Type</t>
  </si>
  <si>
    <t xml:space="preserve">Added sort to Compone Data sheet when created in Sub Get_Components in Module </t>
  </si>
  <si>
    <t>Get_Workbook_Components</t>
  </si>
  <si>
    <t>Added ProgressMessage to let you know what is happening after you have selected workbook to work on</t>
  </si>
  <si>
    <t>v2.2</t>
  </si>
  <si>
    <t>Function Name</t>
  </si>
  <si>
    <t>Think mapping is working ok now had to change the way both subs and function</t>
  </si>
  <si>
    <t xml:space="preserve">checked to see if potentials weer real by runnubg agains funstion list and alpha sub list </t>
  </si>
  <si>
    <t>v3.0</t>
  </si>
  <si>
    <t>Portfolio</t>
  </si>
  <si>
    <t>Quotes</t>
  </si>
  <si>
    <t>Chart</t>
  </si>
  <si>
    <t>Test Buttons</t>
  </si>
  <si>
    <t>Sheet View</t>
  </si>
  <si>
    <t>Sheet</t>
  </si>
  <si>
    <t>Workbook</t>
  </si>
  <si>
    <t xml:space="preserve">Components copied to </t>
  </si>
  <si>
    <t xml:space="preserve">This will take the specified workbook and export a copy of all the modules </t>
  </si>
  <si>
    <t>It will then make a list by component of macros and an alphabetic list of Macros on sheet MacroList</t>
  </si>
  <si>
    <t>It will then make a list of all the shapes in the worksheets of the workbook on sheet Shape List</t>
  </si>
  <si>
    <t xml:space="preserve">    </t>
  </si>
  <si>
    <t xml:space="preserve">   </t>
  </si>
  <si>
    <t xml:space="preserve">     </t>
  </si>
  <si>
    <t xml:space="preserve">        </t>
  </si>
  <si>
    <t xml:space="preserve">            </t>
  </si>
  <si>
    <t xml:space="preserve">            Next i</t>
  </si>
  <si>
    <t xml:space="preserve">                </t>
  </si>
  <si>
    <t xml:space="preserve">                 </t>
  </si>
  <si>
    <t xml:space="preserve">                     </t>
  </si>
  <si>
    <t xml:space="preserve">       </t>
  </si>
  <si>
    <t xml:space="preserve">             Else</t>
  </si>
  <si>
    <t xml:space="preserve">             End If</t>
  </si>
  <si>
    <t xml:space="preserve">             </t>
  </si>
  <si>
    <t xml:space="preserve">     Else</t>
  </si>
  <si>
    <t xml:space="preserve">Fixed issue with leading  ' for comment . Apparently it is a prefix  character so not really part of the line </t>
  </si>
  <si>
    <t>check toward top of sub MapSubs in module Select Module to Import  then Map.</t>
  </si>
  <si>
    <t>v 3.1</t>
  </si>
  <si>
    <t>or all Modules in a workbook. The list on sheet Subroutine Map is  different from the one on MacroList</t>
  </si>
  <si>
    <t xml:space="preserve">in that it shows not only the Subroutines and Functions but where these are called from </t>
  </si>
  <si>
    <t xml:space="preserve">Getting data ready for flow chart section </t>
  </si>
  <si>
    <t>v3.2</t>
  </si>
  <si>
    <t>Changing Line numbers on uf_Input form so they correspond to line number in module</t>
  </si>
  <si>
    <t xml:space="preserve">also no line skiipping based on comments. After consideration you are probably  </t>
  </si>
  <si>
    <t>better to be forced to scroll thru each line.</t>
  </si>
  <si>
    <t>Also made some adjustments to the Input Form itself</t>
  </si>
  <si>
    <t>v3.3</t>
  </si>
  <si>
    <t xml:space="preserve">Added smarts to Create Flow Chart </t>
  </si>
  <si>
    <t xml:space="preserve">Checks if new , if so ask if you want to save </t>
  </si>
  <si>
    <t>If New clear ould old FC</t>
  </si>
  <si>
    <t>v3.4</t>
  </si>
  <si>
    <t>include when you print for documantation</t>
  </si>
  <si>
    <t>v 3.5</t>
  </si>
  <si>
    <t>Changed location of code on Sheet temp prior to saving as backup</t>
  </si>
  <si>
    <t xml:space="preserve">word wraped code column . Should be more effectice in this format to </t>
  </si>
  <si>
    <t>Update_Daily_Chart</t>
  </si>
  <si>
    <t>Update chart w/
current data</t>
  </si>
  <si>
    <t>Change columns of subroutine so you can sort them</t>
  </si>
  <si>
    <t xml:space="preserve">ended up a major remake of subroutine map also fixed some problems </t>
  </si>
  <si>
    <t>identifying and some problems with identifying functions. First one letter functions</t>
  </si>
  <si>
    <t>then function that is immedieatly continued on the next line.</t>
  </si>
  <si>
    <t>Combined  Macros called by buttons with List of subs on Alpha Subs and Function Map</t>
  </si>
  <si>
    <t>Now both listed Alpha first Sub and FNs called from Modules the the ones called by</t>
  </si>
  <si>
    <t>Buttons all on Alpha Suns and Fns map</t>
  </si>
  <si>
    <t>V3.7</t>
  </si>
  <si>
    <t xml:space="preserve">Change to create automatic directory name when you are stripping out components </t>
  </si>
  <si>
    <t>from a workbook to Workbook name + CurrComponents</t>
  </si>
  <si>
    <t>I think I deleted old currcomponent contents if so remove this</t>
  </si>
  <si>
    <t>Before you save components give user chance to change the default.</t>
  </si>
  <si>
    <t>Lines = 27</t>
  </si>
  <si>
    <t xml:space="preserve">           </t>
  </si>
  <si>
    <t xml:space="preserve">        Dim ws As Worksheet</t>
  </si>
  <si>
    <t xml:space="preserve">          </t>
  </si>
  <si>
    <t xml:space="preserve">        Dim LastRow As Integer</t>
  </si>
  <si>
    <t xml:space="preserve">        End Sub</t>
  </si>
  <si>
    <t xml:space="preserve">                End If</t>
  </si>
  <si>
    <t xml:space="preserve">            End If</t>
  </si>
  <si>
    <t xml:space="preserve">        End If</t>
  </si>
  <si>
    <t xml:space="preserve">    Else</t>
  </si>
  <si>
    <t xml:space="preserve">    End If</t>
  </si>
  <si>
    <t xml:space="preserve">     End If</t>
  </si>
  <si>
    <t>End Function</t>
  </si>
  <si>
    <t>Located on sheet Start Sheet</t>
  </si>
  <si>
    <t>PullModuleList</t>
  </si>
  <si>
    <t>Map Subroutines</t>
  </si>
  <si>
    <t>Start Sheet</t>
  </si>
  <si>
    <t>Sub_FC</t>
  </si>
  <si>
    <t>Create FlowChart for 
a Subroutine</t>
  </si>
  <si>
    <t>Show_All_Sheets</t>
  </si>
  <si>
    <t>Show All Sheets</t>
  </si>
  <si>
    <t>Get_Components</t>
  </si>
  <si>
    <t>Get workbook</t>
  </si>
  <si>
    <t>Located on sheet flowchart</t>
  </si>
  <si>
    <t>shp1</t>
  </si>
  <si>
    <t>flowchart</t>
  </si>
  <si>
    <t>shp2</t>
  </si>
  <si>
    <t>shp3</t>
  </si>
  <si>
    <t>shp4</t>
  </si>
  <si>
    <t>shp5</t>
  </si>
  <si>
    <t>shp6</t>
  </si>
  <si>
    <t>shp7</t>
  </si>
  <si>
    <t>shp8</t>
  </si>
  <si>
    <t>shp9</t>
  </si>
  <si>
    <t>shp10</t>
  </si>
  <si>
    <t>con1-2</t>
  </si>
  <si>
    <t>con2-3</t>
  </si>
  <si>
    <t>con3-4</t>
  </si>
  <si>
    <t>Elbow Connector 15</t>
  </si>
  <si>
    <t>con4-5</t>
  </si>
  <si>
    <t>con5-6</t>
  </si>
  <si>
    <t>con6-7</t>
  </si>
  <si>
    <t>Elbow Connector 21</t>
  </si>
  <si>
    <t>con7-8</t>
  </si>
  <si>
    <t>con8-9</t>
  </si>
  <si>
    <t>con9-10</t>
  </si>
  <si>
    <t>TextBox 26</t>
  </si>
  <si>
    <t>TextBox 27</t>
  </si>
  <si>
    <t>Located on sheet FlowChart_Steps</t>
  </si>
  <si>
    <t>plot_flowchart</t>
  </si>
  <si>
    <t>Draw Flowchart</t>
  </si>
  <si>
    <t>FlowChart_Steps</t>
  </si>
  <si>
    <t>Scroll Bar 2</t>
  </si>
  <si>
    <t>Scroll Bar 3</t>
  </si>
  <si>
    <t>Scroll Bar 4</t>
  </si>
  <si>
    <t>delete_flowchart</t>
  </si>
  <si>
    <t>Delete Flowchart</t>
  </si>
  <si>
    <t>FC_Help</t>
  </si>
  <si>
    <t>Help</t>
  </si>
  <si>
    <t>Button 8</t>
  </si>
  <si>
    <t>Start_FlowChart</t>
  </si>
  <si>
    <t>Load Module</t>
  </si>
  <si>
    <t>Button 10</t>
  </si>
  <si>
    <t>Start_Steps</t>
  </si>
  <si>
    <t>Create Flow Chart</t>
  </si>
  <si>
    <t>Drop Down 22</t>
  </si>
  <si>
    <t>DropDown13_Change</t>
  </si>
  <si>
    <t>Button 24</t>
  </si>
  <si>
    <t>Call_Save_Data</t>
  </si>
  <si>
    <t>Save FlowChart Data</t>
  </si>
  <si>
    <t>Scroll Bar 26</t>
  </si>
  <si>
    <t>Located on sheet FCAddTicker()</t>
  </si>
  <si>
    <t>FCAddTicker()</t>
  </si>
  <si>
    <t>shp11</t>
  </si>
  <si>
    <t>shp12</t>
  </si>
  <si>
    <t>shp13</t>
  </si>
  <si>
    <t>shp14</t>
  </si>
  <si>
    <t>shp15</t>
  </si>
  <si>
    <t>shp16</t>
  </si>
  <si>
    <t>shp17</t>
  </si>
  <si>
    <t>shp18</t>
  </si>
  <si>
    <t>shp19</t>
  </si>
  <si>
    <t>shp20</t>
  </si>
  <si>
    <t>Elbow Connector 25</t>
  </si>
  <si>
    <t>Elbow Connector 26</t>
  </si>
  <si>
    <t>con10-11</t>
  </si>
  <si>
    <t>con11-12</t>
  </si>
  <si>
    <t>con12-13</t>
  </si>
  <si>
    <t>con13-14</t>
  </si>
  <si>
    <t>con14-15</t>
  </si>
  <si>
    <t>con15-16</t>
  </si>
  <si>
    <t>con16-20</t>
  </si>
  <si>
    <t>Elbow Connector 40</t>
  </si>
  <si>
    <t>con16-17</t>
  </si>
  <si>
    <t>con17-18</t>
  </si>
  <si>
    <t>con18-19</t>
  </si>
  <si>
    <t>con19-20</t>
  </si>
  <si>
    <t>Elbow Connector 45</t>
  </si>
  <si>
    <t>Elbow Connector 47</t>
  </si>
  <si>
    <t>Elbow Connector 48</t>
  </si>
  <si>
    <t>TextBox 49</t>
  </si>
  <si>
    <t>TextBox 50</t>
  </si>
  <si>
    <t>TextBox 51</t>
  </si>
  <si>
    <t>Located on sheet FCAddTicker</t>
  </si>
  <si>
    <t>FCAddTicker</t>
  </si>
  <si>
    <t>Elbow Connector 27</t>
  </si>
  <si>
    <t>Elbow Connector 33</t>
  </si>
  <si>
    <t>TextBox 36</t>
  </si>
  <si>
    <t>TextBox 37</t>
  </si>
  <si>
    <t>TextBox 38</t>
  </si>
  <si>
    <t>Selct_Module_to_Import_Then_Map</t>
  </si>
  <si>
    <t>MapSubs</t>
  </si>
  <si>
    <t>SelectFile</t>
  </si>
  <si>
    <t>IsSubCall</t>
  </si>
  <si>
    <t>IsFuncCall</t>
  </si>
  <si>
    <t>IsLetter</t>
  </si>
  <si>
    <t>SortSub_Func_Map</t>
  </si>
  <si>
    <t>TestCutandinsert</t>
  </si>
  <si>
    <t>Lines = 435</t>
  </si>
  <si>
    <t>FlowChart_Control</t>
  </si>
  <si>
    <t>Find_First</t>
  </si>
  <si>
    <t>SearchFor</t>
  </si>
  <si>
    <t>SearchForSubs</t>
  </si>
  <si>
    <t>Load_Module</t>
  </si>
  <si>
    <t>GetAllSubs_Funcs_inModule</t>
  </si>
  <si>
    <t>CallComponents</t>
  </si>
  <si>
    <t>Find_Procdure_Start_Line_in_Module</t>
  </si>
  <si>
    <t>Lines = 564</t>
  </si>
  <si>
    <t>set_variables_here</t>
  </si>
  <si>
    <t>automate</t>
  </si>
  <si>
    <t>connector_text</t>
  </si>
  <si>
    <t>connect_arrows</t>
  </si>
  <si>
    <t>parse_connector_token</t>
  </si>
  <si>
    <t>Add_Comments_for_Decision</t>
  </si>
  <si>
    <t>delete_flowchart_process</t>
  </si>
  <si>
    <t>select_multiple</t>
  </si>
  <si>
    <t>select_all_shape_types</t>
  </si>
  <si>
    <t>add_flowhchart_shapes</t>
  </si>
  <si>
    <t>copy_and_parse_flowchart_instructions</t>
  </si>
  <si>
    <t>snap_to_grid</t>
  </si>
  <si>
    <t>setup_worksheet</t>
  </si>
  <si>
    <t>shape_toolbar_on</t>
  </si>
  <si>
    <t>menuoptions</t>
  </si>
  <si>
    <t>shape_toolbar_off</t>
  </si>
  <si>
    <t>Lines = 80</t>
  </si>
  <si>
    <t>Prog_Control_and_Help</t>
  </si>
  <si>
    <t>GetCode</t>
  </si>
  <si>
    <t>Rtn_FlowChart_Steps</t>
  </si>
  <si>
    <t>Map_Sub</t>
  </si>
  <si>
    <t>Hide_All</t>
  </si>
  <si>
    <t>Lines = 35</t>
  </si>
  <si>
    <t>cb_Close_Help_Click</t>
  </si>
  <si>
    <t>uf_FC_Help</t>
  </si>
  <si>
    <t>Lines = 491</t>
  </si>
  <si>
    <t>Cmd_Exit_Click</t>
  </si>
  <si>
    <t>uf_InputForm</t>
  </si>
  <si>
    <t>Cmd_GetCode_Click</t>
  </si>
  <si>
    <t>Cmd_InsertStep_Click</t>
  </si>
  <si>
    <t>Cb_LineNumber_Change</t>
  </si>
  <si>
    <t>Cb_Step_Change</t>
  </si>
  <si>
    <t>Cmd_NextLine_Click</t>
  </si>
  <si>
    <t>Cmd_PrevLine_Click</t>
  </si>
  <si>
    <t>cmd_NextStep_Click</t>
  </si>
  <si>
    <t>FindStep</t>
  </si>
  <si>
    <t>FindLine</t>
  </si>
  <si>
    <t>CommandButton1_Click</t>
  </si>
  <si>
    <t>ResetCb_Step</t>
  </si>
  <si>
    <t>Lines = 241</t>
  </si>
  <si>
    <t>Automate_FC_Steps</t>
  </si>
  <si>
    <t>Clear_FLowChart</t>
  </si>
  <si>
    <t>FileFolderExists</t>
  </si>
  <si>
    <t>Save_FlowChart_Data</t>
  </si>
  <si>
    <t>Lines = 30</t>
  </si>
  <si>
    <t>Cb_Return_Click</t>
  </si>
  <si>
    <t>UF_Select_Sub_or_Function</t>
  </si>
  <si>
    <t>Cb_Subs_Change</t>
  </si>
  <si>
    <t>Lines = 87</t>
  </si>
  <si>
    <t>Cb_Close_Click</t>
  </si>
  <si>
    <t>Uf_Code</t>
  </si>
  <si>
    <t>CmdB_Print_Code_Click</t>
  </si>
  <si>
    <t>CountLines</t>
  </si>
  <si>
    <t>ProgressMessage</t>
  </si>
  <si>
    <t>Module1</t>
  </si>
  <si>
    <t>Lines = 8</t>
  </si>
  <si>
    <t>Lines = 20</t>
  </si>
  <si>
    <t>Macro1</t>
  </si>
  <si>
    <t>Imported Module'!_FilterDatabase</t>
  </si>
  <si>
    <t>Imported Module'!</t>
  </si>
  <si>
    <t>$ABE$9:$ABE$98</t>
  </si>
  <si>
    <t>ButtonMacros</t>
  </si>
  <si>
    <t>ShapeList!</t>
  </si>
  <si>
    <t>$G$1:$I$42</t>
  </si>
  <si>
    <t>flowchart_instructions</t>
  </si>
  <si>
    <t>FlowChart_Steps!</t>
  </si>
  <si>
    <t>$C$7:$E$1006</t>
  </si>
  <si>
    <t>height_of_objects</t>
  </si>
  <si>
    <t>$E$3</t>
  </si>
  <si>
    <t>MacrosAlpha</t>
  </si>
  <si>
    <t>MacroList!</t>
  </si>
  <si>
    <t>ProcList</t>
  </si>
  <si>
    <t>$AF$1:$AF$5</t>
  </si>
  <si>
    <t>row_gap_between_objects</t>
  </si>
  <si>
    <t>Imported Module'!Sample</t>
  </si>
  <si>
    <t>$AAW$1:$ABC$644</t>
  </si>
  <si>
    <t>Subroutine Map'!Sample</t>
  </si>
  <si>
    <t>Subroutine Map'!</t>
  </si>
  <si>
    <t>$E$1:$E$239</t>
  </si>
  <si>
    <t>Imported Module'!Sample_1</t>
  </si>
  <si>
    <t>Subroutine Map'!Sample_1</t>
  </si>
  <si>
    <t>$D$1:$D$239</t>
  </si>
  <si>
    <t>Imported Module'!Sample_10</t>
  </si>
  <si>
    <t>$AAW$1:$AAW$644</t>
  </si>
  <si>
    <t>Imported Module'!Sample_100</t>
  </si>
  <si>
    <t>$AAW$1:$AAW$307</t>
  </si>
  <si>
    <t>Imported Module'!Sample_1000</t>
  </si>
  <si>
    <t>$AK$1:$AK$6</t>
  </si>
  <si>
    <t>Imported Module'!Sample_1001</t>
  </si>
  <si>
    <t>$AJ$1:$AJ$5</t>
  </si>
  <si>
    <t>Imported Module'!Sample_1002</t>
  </si>
  <si>
    <t>$AI$1:$AI$122</t>
  </si>
  <si>
    <t>Imported Module'!Sample_1003</t>
  </si>
  <si>
    <t>$AH$1:$AH$167</t>
  </si>
  <si>
    <t>Imported Module'!Sample_1004</t>
  </si>
  <si>
    <t>$AG$1:$AG$373</t>
  </si>
  <si>
    <t>Imported Module'!Sample_1005</t>
  </si>
  <si>
    <t>$AF$1:$AF$102</t>
  </si>
  <si>
    <t>Imported Module'!Sample_1006</t>
  </si>
  <si>
    <t>$AE$1:$AE$134</t>
  </si>
  <si>
    <t>Imported Module'!Sample_1007</t>
  </si>
  <si>
    <t>$AD$1:$AD$278</t>
  </si>
  <si>
    <t>Imported Module'!Sample_1008</t>
  </si>
  <si>
    <t>$AC$1:$AC$106</t>
  </si>
  <si>
    <t>Imported Module'!Sample_1009</t>
  </si>
  <si>
    <t>$AB$1:$AB$9</t>
  </si>
  <si>
    <t>Imported Module'!Sample_101</t>
  </si>
  <si>
    <t>$AAW$1:$AAW$15</t>
  </si>
  <si>
    <t>Imported Module'!Sample_1010</t>
  </si>
  <si>
    <t>$AA$1:$AA$9</t>
  </si>
  <si>
    <t>Imported Module'!Sample_1011</t>
  </si>
  <si>
    <t>$Z$1:$Z$9</t>
  </si>
  <si>
    <t>Imported Module'!Sample_1012</t>
  </si>
  <si>
    <t>$Y$1:$Y$9</t>
  </si>
  <si>
    <t>Imported Module'!Sample_1013</t>
  </si>
  <si>
    <t>$X$1:$X$9</t>
  </si>
  <si>
    <t>Imported Module'!Sample_1014</t>
  </si>
  <si>
    <t>$W$1:$W$9</t>
  </si>
  <si>
    <t>Imported Module'!Sample_1015</t>
  </si>
  <si>
    <t>$V$1:$V$9</t>
  </si>
  <si>
    <t>Imported Module'!Sample_1016</t>
  </si>
  <si>
    <t>$U$1:$U$9</t>
  </si>
  <si>
    <t>Imported Module'!Sample_1017</t>
  </si>
  <si>
    <t>$T$1:$T$9</t>
  </si>
  <si>
    <t>Imported Module'!Sample_1018</t>
  </si>
  <si>
    <t>$S$1:$S$9</t>
  </si>
  <si>
    <t>Imported Module'!Sample_1019</t>
  </si>
  <si>
    <t>$R$1:$R$9</t>
  </si>
  <si>
    <t>Imported Module'!Sample_102</t>
  </si>
  <si>
    <t>$AAW$1:$AAW$391</t>
  </si>
  <si>
    <t>Imported Module'!Sample_1020</t>
  </si>
  <si>
    <t>$Q$1:$Q$9</t>
  </si>
  <si>
    <t>Imported Module'!Sample_1021</t>
  </si>
  <si>
    <t>$P$1:$P$9</t>
  </si>
  <si>
    <t>Imported Module'!Sample_1022</t>
  </si>
  <si>
    <t>$O$1:$O$9</t>
  </si>
  <si>
    <t>Imported Module'!Sample_1023</t>
  </si>
  <si>
    <t>$N$1:$N$9</t>
  </si>
  <si>
    <t>Imported Module'!Sample_1024</t>
  </si>
  <si>
    <t>$M$1:$M$9</t>
  </si>
  <si>
    <t>Imported Module'!Sample_1025</t>
  </si>
  <si>
    <t>$L$1:$L$9</t>
  </si>
  <si>
    <t>Imported Module'!Sample_1026</t>
  </si>
  <si>
    <t>$K$1:$K$233</t>
  </si>
  <si>
    <t>Imported Module'!Sample_1027</t>
  </si>
  <si>
    <t>$J$1:$J$9</t>
  </si>
  <si>
    <t>Imported Module'!Sample_1028</t>
  </si>
  <si>
    <t>$I$1:$I$9</t>
  </si>
  <si>
    <t>Imported Module'!Sample_1029</t>
  </si>
  <si>
    <t>$H$1:$H$9</t>
  </si>
  <si>
    <t>Imported Module'!Sample_103</t>
  </si>
  <si>
    <t>$AAW$1:$AAW$6</t>
  </si>
  <si>
    <t>Imported Module'!Sample_1030</t>
  </si>
  <si>
    <t>$G$1:$G$33</t>
  </si>
  <si>
    <t>Imported Module'!Sample_1031</t>
  </si>
  <si>
    <t>$F$1:$F$90</t>
  </si>
  <si>
    <t>Imported Module'!Sample_1032</t>
  </si>
  <si>
    <t>$E$1:$E$83</t>
  </si>
  <si>
    <t>Imported Module'!Sample_1033</t>
  </si>
  <si>
    <t>$D$1:$D$75</t>
  </si>
  <si>
    <t>Imported Module'!Sample_1034</t>
  </si>
  <si>
    <t>$C$1:$C$87</t>
  </si>
  <si>
    <t>Imported Module'!Sample_1035</t>
  </si>
  <si>
    <t>$C$1:$C$218</t>
  </si>
  <si>
    <t>Imported Module'!Sample_1036</t>
  </si>
  <si>
    <t>$C$1:$C$543</t>
  </si>
  <si>
    <t>Imported Module'!Sample_1037</t>
  </si>
  <si>
    <t>Imported Module'!Sample_1038</t>
  </si>
  <si>
    <t>$B$1:$B$239</t>
  </si>
  <si>
    <t>Imported Module'!Sample_1039</t>
  </si>
  <si>
    <t>$A$1:$A$44</t>
  </si>
  <si>
    <t>Imported Module'!Sample_104</t>
  </si>
  <si>
    <t>$AAW$1:$AAW$5</t>
  </si>
  <si>
    <t>Imported Module'!Sample_1040</t>
  </si>
  <si>
    <t>$A$1:$A$543</t>
  </si>
  <si>
    <t>Imported Module'!Sample_1041</t>
  </si>
  <si>
    <t>Imported Module'!Sample_105</t>
  </si>
  <si>
    <t>$AAW$1:$AAW$1084</t>
  </si>
  <si>
    <t>Imported Module'!Sample_106</t>
  </si>
  <si>
    <t>$AAW$1:$AAW$122</t>
  </si>
  <si>
    <t>Imported Module'!Sample_107</t>
  </si>
  <si>
    <t>$AAW$1:$AAW$198</t>
  </si>
  <si>
    <t>Imported Module'!Sample_108</t>
  </si>
  <si>
    <t>$AAW$1:$AAW$373</t>
  </si>
  <si>
    <t>Imported Module'!Sample_109</t>
  </si>
  <si>
    <t>Imported Module'!Sample_11</t>
  </si>
  <si>
    <t>$AAW$1:$AAW$235</t>
  </si>
  <si>
    <t>Imported Module'!Sample_110</t>
  </si>
  <si>
    <t>Imported Module'!Sample_111</t>
  </si>
  <si>
    <t>$AAW$1:$AAW$261</t>
  </si>
  <si>
    <t>Imported Module'!Sample_112</t>
  </si>
  <si>
    <t>$AAW$1:$AAW$44</t>
  </si>
  <si>
    <t>Imported Module'!Sample_113</t>
  </si>
  <si>
    <t>$AAW$1:$AAW$534</t>
  </si>
  <si>
    <t>Imported Module'!Sample_114</t>
  </si>
  <si>
    <t>$AAW$1:$AAW$56</t>
  </si>
  <si>
    <t>Imported Module'!Sample_115</t>
  </si>
  <si>
    <t>$AAW$1:$AAW$218</t>
  </si>
  <si>
    <t>Imported Module'!Sample_116</t>
  </si>
  <si>
    <t>$AAW$1:$AAW$145</t>
  </si>
  <si>
    <t>Imported Module'!Sample_117</t>
  </si>
  <si>
    <t>$AAW$1:$AAW$156</t>
  </si>
  <si>
    <t>Imported Module'!Sample_118</t>
  </si>
  <si>
    <t>$AAW$1:$AAW$466</t>
  </si>
  <si>
    <t>Imported Module'!Sample_119</t>
  </si>
  <si>
    <t>Imported Module'!Sample_120</t>
  </si>
  <si>
    <t>$AAW$1:$AAW$296</t>
  </si>
  <si>
    <t>Imported Module'!Sample_121</t>
  </si>
  <si>
    <t>$AAW$1:$AAW$229</t>
  </si>
  <si>
    <t>Imported Module'!Sample_122</t>
  </si>
  <si>
    <t>Imported Module'!Sample_123</t>
  </si>
  <si>
    <t>Imported Module'!Sample_124</t>
  </si>
  <si>
    <t>Imported Module'!Sample_125</t>
  </si>
  <si>
    <t>Imported Module'!Sample_126</t>
  </si>
  <si>
    <t>Imported Module'!Sample_127</t>
  </si>
  <si>
    <t>Imported Module'!Sample_128</t>
  </si>
  <si>
    <t>Imported Module'!Sample_129</t>
  </si>
  <si>
    <t>Imported Module'!Sample_130</t>
  </si>
  <si>
    <t>Imported Module'!Sample_131</t>
  </si>
  <si>
    <t>Imported Module'!Sample_132</t>
  </si>
  <si>
    <t>Imported Module'!Sample_133</t>
  </si>
  <si>
    <t>Imported Module'!Sample_134</t>
  </si>
  <si>
    <t>Imported Module'!Sample_135</t>
  </si>
  <si>
    <t>Imported Module'!Sample_136</t>
  </si>
  <si>
    <t>Imported Module'!Sample_137</t>
  </si>
  <si>
    <t>Imported Module'!Sample_138</t>
  </si>
  <si>
    <t>Imported Module'!Sample_139</t>
  </si>
  <si>
    <t>Imported Module'!Sample_14</t>
  </si>
  <si>
    <t>Imported Module'!Sample_140</t>
  </si>
  <si>
    <t>Imported Module'!Sample_141</t>
  </si>
  <si>
    <t>Imported Module'!Sample_142</t>
  </si>
  <si>
    <t>Imported Module'!Sample_143</t>
  </si>
  <si>
    <t>Imported Module'!Sample_144</t>
  </si>
  <si>
    <t>Imported Module'!Sample_145</t>
  </si>
  <si>
    <t>Imported Module'!Sample_146</t>
  </si>
  <si>
    <t>Imported Module'!Sample_147</t>
  </si>
  <si>
    <t>Imported Module'!Sample_148</t>
  </si>
  <si>
    <t>Imported Module'!Sample_149</t>
  </si>
  <si>
    <t>Imported Module'!Sample_15</t>
  </si>
  <si>
    <t>Imported Module'!Sample_150</t>
  </si>
  <si>
    <t>Imported Module'!Sample_151</t>
  </si>
  <si>
    <t>Imported Module'!Sample_152</t>
  </si>
  <si>
    <t>Imported Module'!Sample_153</t>
  </si>
  <si>
    <t>Imported Module'!Sample_154</t>
  </si>
  <si>
    <t>Imported Module'!Sample_155</t>
  </si>
  <si>
    <t>Imported Module'!Sample_156</t>
  </si>
  <si>
    <t>Imported Module'!Sample_157</t>
  </si>
  <si>
    <t>Imported Module'!Sample_158</t>
  </si>
  <si>
    <t>Imported Module'!Sample_159</t>
  </si>
  <si>
    <t>Imported Module'!Sample_16</t>
  </si>
  <si>
    <t>Imported Module'!Sample_160</t>
  </si>
  <si>
    <t>Imported Module'!Sample_161</t>
  </si>
  <si>
    <t>Imported Module'!Sample_162</t>
  </si>
  <si>
    <t>Imported Module'!Sample_163</t>
  </si>
  <si>
    <t>Imported Module'!Sample_164</t>
  </si>
  <si>
    <t>Imported Module'!Sample_165</t>
  </si>
  <si>
    <t>Imported Module'!Sample_166</t>
  </si>
  <si>
    <t>Imported Module'!Sample_167</t>
  </si>
  <si>
    <t>Imported Module'!Sample_168</t>
  </si>
  <si>
    <t>Imported Module'!Sample_169</t>
  </si>
  <si>
    <t>Imported Module'!Sample_17</t>
  </si>
  <si>
    <t>Imported Module'!Sample_170</t>
  </si>
  <si>
    <t>Imported Module'!Sample_171</t>
  </si>
  <si>
    <t>Imported Module'!Sample_172</t>
  </si>
  <si>
    <t>Imported Module'!Sample_173</t>
  </si>
  <si>
    <t>Imported Module'!Sample_174</t>
  </si>
  <si>
    <t>Imported Module'!Sample_175</t>
  </si>
  <si>
    <t>Imported Module'!Sample_176</t>
  </si>
  <si>
    <t>Imported Module'!Sample_177</t>
  </si>
  <si>
    <t>Imported Module'!Sample_178</t>
  </si>
  <si>
    <t>Imported Module'!Sample_179</t>
  </si>
  <si>
    <t>Imported Module'!Sample_18</t>
  </si>
  <si>
    <t>Imported Module'!Sample_180</t>
  </si>
  <si>
    <t>Imported Module'!Sample_181</t>
  </si>
  <si>
    <t>Imported Module'!Sample_182</t>
  </si>
  <si>
    <t>Imported Module'!Sample_183</t>
  </si>
  <si>
    <t>Imported Module'!Sample_184</t>
  </si>
  <si>
    <t>Imported Module'!Sample_185</t>
  </si>
  <si>
    <t>Imported Module'!Sample_186</t>
  </si>
  <si>
    <t>Imported Module'!Sample_187</t>
  </si>
  <si>
    <t>Imported Module'!Sample_188</t>
  </si>
  <si>
    <t>Imported Module'!Sample_189</t>
  </si>
  <si>
    <t>Imported Module'!Sample_19</t>
  </si>
  <si>
    <t>Imported Module'!Sample_190</t>
  </si>
  <si>
    <t>Imported Module'!Sample_191</t>
  </si>
  <si>
    <t>Imported Module'!Sample_192</t>
  </si>
  <si>
    <t>Imported Module'!Sample_193</t>
  </si>
  <si>
    <t>Imported Module'!Sample_194</t>
  </si>
  <si>
    <t>Imported Module'!Sample_195</t>
  </si>
  <si>
    <t>Imported Module'!Sample_196</t>
  </si>
  <si>
    <t>Imported Module'!Sample_197</t>
  </si>
  <si>
    <t>Imported Module'!Sample_198</t>
  </si>
  <si>
    <t>Imported Module'!Sample_199</t>
  </si>
  <si>
    <t>Imported Module'!Sample_2</t>
  </si>
  <si>
    <t>Subroutine Map'!Sample_2</t>
  </si>
  <si>
    <t>Imported Module'!Sample_20</t>
  </si>
  <si>
    <t>Imported Module'!Sample_200</t>
  </si>
  <si>
    <t>Imported Module'!Sample_201</t>
  </si>
  <si>
    <t>Imported Module'!Sample_202</t>
  </si>
  <si>
    <t>Imported Module'!Sample_204</t>
  </si>
  <si>
    <t>Imported Module'!Sample_206</t>
  </si>
  <si>
    <t>Imported Module'!Sample_207</t>
  </si>
  <si>
    <t>Imported Module'!Sample_21</t>
  </si>
  <si>
    <t>Imported Module'!Sample_210</t>
  </si>
  <si>
    <t>Imported Module'!Sample_211</t>
  </si>
  <si>
    <t>Imported Module'!Sample_22</t>
  </si>
  <si>
    <t>Imported Module'!Sample_23</t>
  </si>
  <si>
    <t>Imported Module'!Sample_238</t>
  </si>
  <si>
    <t>Imported Module'!Sample_239</t>
  </si>
  <si>
    <t>$AAV$1:$AAV$261</t>
  </si>
  <si>
    <t>Imported Module'!Sample_24</t>
  </si>
  <si>
    <t>Imported Module'!Sample_240</t>
  </si>
  <si>
    <t>$AAU$1:$AAU$44</t>
  </si>
  <si>
    <t>Imported Module'!Sample_241</t>
  </si>
  <si>
    <t>$AAT$1:$AAT$534</t>
  </si>
  <si>
    <t>Imported Module'!Sample_242</t>
  </si>
  <si>
    <t>$AAS$1:$AAS$56</t>
  </si>
  <si>
    <t>Imported Module'!Sample_243</t>
  </si>
  <si>
    <t>$AAR$1:$AAR$218</t>
  </si>
  <si>
    <t>Imported Module'!Sample_244</t>
  </si>
  <si>
    <t>$AAQ$1:$AAQ$145</t>
  </si>
  <si>
    <t>Imported Module'!Sample_245</t>
  </si>
  <si>
    <t>$AAP$1:$AAP$156</t>
  </si>
  <si>
    <t>Imported Module'!Sample_246</t>
  </si>
  <si>
    <t>$AAO$1:$AAO$466</t>
  </si>
  <si>
    <t>Imported Module'!Sample_247</t>
  </si>
  <si>
    <t>$AAN$1:$AAN$235</t>
  </si>
  <si>
    <t>Imported Module'!Sample_248</t>
  </si>
  <si>
    <t>$AAM$1:$AAM$296</t>
  </si>
  <si>
    <t>Imported Module'!Sample_249</t>
  </si>
  <si>
    <t>$AAL$1:$AAL$229</t>
  </si>
  <si>
    <t>Imported Module'!Sample_25</t>
  </si>
  <si>
    <t>Imported Module'!Sample_250</t>
  </si>
  <si>
    <t>$AAK$1:$AAK$307</t>
  </si>
  <si>
    <t>Imported Module'!Sample_251</t>
  </si>
  <si>
    <t>$AAJ$1:$AAJ$15</t>
  </si>
  <si>
    <t>Imported Module'!Sample_252</t>
  </si>
  <si>
    <t>$AAI$1:$AAI$391</t>
  </si>
  <si>
    <t>Imported Module'!Sample_253</t>
  </si>
  <si>
    <t>$AAH$1:$AAH$6</t>
  </si>
  <si>
    <t>Imported Module'!Sample_254</t>
  </si>
  <si>
    <t>$AAG$1:$AAG$5</t>
  </si>
  <si>
    <t>Imported Module'!Sample_255</t>
  </si>
  <si>
    <t>$AAF$1:$AAF$1084</t>
  </si>
  <si>
    <t>Imported Module'!Sample_256</t>
  </si>
  <si>
    <t>$AAE$1:$AAE$122</t>
  </si>
  <si>
    <t>Imported Module'!Sample_257</t>
  </si>
  <si>
    <t>$AAD$1:$AAD$198</t>
  </si>
  <si>
    <t>Imported Module'!Sample_258</t>
  </si>
  <si>
    <t>$AAC$1:$AAC$373</t>
  </si>
  <si>
    <t>Imported Module'!Sample_259</t>
  </si>
  <si>
    <t>$AAC$1:$AAC$644</t>
  </si>
  <si>
    <t>Imported Module'!Sample_26</t>
  </si>
  <si>
    <t>Imported Module'!Sample_260</t>
  </si>
  <si>
    <t>$AAB$1:$AAB$261</t>
  </si>
  <si>
    <t>Imported Module'!Sample_261</t>
  </si>
  <si>
    <t>$AAA$1:$AAA$44</t>
  </si>
  <si>
    <t>Imported Module'!Sample_262</t>
  </si>
  <si>
    <t>$ZZ$1:$ZZ$534</t>
  </si>
  <si>
    <t>Imported Module'!Sample_263</t>
  </si>
  <si>
    <t>$ZY$1:$ZY$56</t>
  </si>
  <si>
    <t>Imported Module'!Sample_264</t>
  </si>
  <si>
    <t>$ZX$1:$ZX$218</t>
  </si>
  <si>
    <t>Imported Module'!Sample_265</t>
  </si>
  <si>
    <t>$ZW$1:$ZW$145</t>
  </si>
  <si>
    <t>Imported Module'!Sample_266</t>
  </si>
  <si>
    <t>$ZV$1:$ZV$156</t>
  </si>
  <si>
    <t>Imported Module'!Sample_267</t>
  </si>
  <si>
    <t>$ZU$1:$ZU$466</t>
  </si>
  <si>
    <t>Imported Module'!Sample_268</t>
  </si>
  <si>
    <t>$ZT$1:$ZT$235</t>
  </si>
  <si>
    <t>Imported Module'!Sample_269</t>
  </si>
  <si>
    <t>$ZS$1:$ZS$296</t>
  </si>
  <si>
    <t>Imported Module'!Sample_27</t>
  </si>
  <si>
    <t>Imported Module'!Sample_270</t>
  </si>
  <si>
    <t>$ZR$1:$ZR$229</t>
  </si>
  <si>
    <t>Imported Module'!Sample_271</t>
  </si>
  <si>
    <t>$ZQ$1:$ZQ$307</t>
  </si>
  <si>
    <t>Imported Module'!Sample_272</t>
  </si>
  <si>
    <t>$ZP$1:$ZP$15</t>
  </si>
  <si>
    <t>Imported Module'!Sample_273</t>
  </si>
  <si>
    <t>$ZO$1:$ZO$391</t>
  </si>
  <si>
    <t>Imported Module'!Sample_274</t>
  </si>
  <si>
    <t>$ZN$1:$ZN$6</t>
  </si>
  <si>
    <t>Imported Module'!Sample_275</t>
  </si>
  <si>
    <t>$ZM$1:$ZM$5</t>
  </si>
  <si>
    <t>Imported Module'!Sample_276</t>
  </si>
  <si>
    <t>$ZL$1:$ZL$1084</t>
  </si>
  <si>
    <t>Imported Module'!Sample_277</t>
  </si>
  <si>
    <t>$ZK$1:$ZK$122</t>
  </si>
  <si>
    <t>Imported Module'!Sample_278</t>
  </si>
  <si>
    <t>$ZJ$1:$ZJ$198</t>
  </si>
  <si>
    <t>Imported Module'!Sample_279</t>
  </si>
  <si>
    <t>$ZI$1:$ZI$373</t>
  </si>
  <si>
    <t>Imported Module'!Sample_28</t>
  </si>
  <si>
    <t>Imported Module'!Sample_283</t>
  </si>
  <si>
    <t>$ZI$1:$ZI$644</t>
  </si>
  <si>
    <t>Imported Module'!Sample_284</t>
  </si>
  <si>
    <t>Imported Module'!Sample_285</t>
  </si>
  <si>
    <t>Imported Module'!Sample_286</t>
  </si>
  <si>
    <t>$ZH$1:$ZH$261</t>
  </si>
  <si>
    <t>Imported Module'!Sample_287</t>
  </si>
  <si>
    <t>$ZG$1:$ZG$44</t>
  </si>
  <si>
    <t>Imported Module'!Sample_288</t>
  </si>
  <si>
    <t>$ZF$1:$ZF$534</t>
  </si>
  <si>
    <t>Imported Module'!Sample_289</t>
  </si>
  <si>
    <t>$ZE$1:$ZE$56</t>
  </si>
  <si>
    <t>Imported Module'!Sample_29</t>
  </si>
  <si>
    <t>Imported Module'!Sample_290</t>
  </si>
  <si>
    <t>$ZD$1:$ZD$218</t>
  </si>
  <si>
    <t>Imported Module'!Sample_291</t>
  </si>
  <si>
    <t>$ZC$1:$ZC$145</t>
  </si>
  <si>
    <t>Imported Module'!Sample_292</t>
  </si>
  <si>
    <t>$ZB$1:$ZB$156</t>
  </si>
  <si>
    <t>Imported Module'!Sample_293</t>
  </si>
  <si>
    <t>$ZA$1:$ZA$466</t>
  </si>
  <si>
    <t>Imported Module'!Sample_294</t>
  </si>
  <si>
    <t>$YZ$1:$YZ$235</t>
  </si>
  <si>
    <t>Imported Module'!Sample_295</t>
  </si>
  <si>
    <t>$YY$1:$YY$296</t>
  </si>
  <si>
    <t>Imported Module'!Sample_296</t>
  </si>
  <si>
    <t>$YX$1:$YX$229</t>
  </si>
  <si>
    <t>Imported Module'!Sample_297</t>
  </si>
  <si>
    <t>$YW$1:$YW$307</t>
  </si>
  <si>
    <t>Imported Module'!Sample_298</t>
  </si>
  <si>
    <t>$YV$1:$YV$15</t>
  </si>
  <si>
    <t>Imported Module'!Sample_299</t>
  </si>
  <si>
    <t>$YU$1:$YU$391</t>
  </si>
  <si>
    <t>Imported Module'!Sample_3</t>
  </si>
  <si>
    <t>Subroutine Map'!Sample_3</t>
  </si>
  <si>
    <t>$A$1:$A$239</t>
  </si>
  <si>
    <t>Imported Module'!Sample_30</t>
  </si>
  <si>
    <t>Imported Module'!Sample_300</t>
  </si>
  <si>
    <t>$YT$1:$YT$6</t>
  </si>
  <si>
    <t>Imported Module'!Sample_301</t>
  </si>
  <si>
    <t>$YS$1:$YS$5</t>
  </si>
  <si>
    <t>Imported Module'!Sample_302</t>
  </si>
  <si>
    <t>$YR$1:$YR$1084</t>
  </si>
  <si>
    <t>Imported Module'!Sample_303</t>
  </si>
  <si>
    <t>$YQ$1:$YQ$122</t>
  </si>
  <si>
    <t>Imported Module'!Sample_304</t>
  </si>
  <si>
    <t>$YP$1:$YP$198</t>
  </si>
  <si>
    <t>Imported Module'!Sample_305</t>
  </si>
  <si>
    <t>$YO$1:$YO$373</t>
  </si>
  <si>
    <t>Imported Module'!Sample_306</t>
  </si>
  <si>
    <t>$YO$1:$YO$261</t>
  </si>
  <si>
    <t>Imported Module'!Sample_307</t>
  </si>
  <si>
    <t>$YO$1:$YO$644</t>
  </si>
  <si>
    <t>Imported Module'!Sample_308</t>
  </si>
  <si>
    <t>$YN$1:$YN$261</t>
  </si>
  <si>
    <t>Imported Module'!Sample_309</t>
  </si>
  <si>
    <t>$YM$1:$YM$44</t>
  </si>
  <si>
    <t>Imported Module'!Sample_31</t>
  </si>
  <si>
    <t>Imported Module'!Sample_310</t>
  </si>
  <si>
    <t>$YL$1:$YL$534</t>
  </si>
  <si>
    <t>Imported Module'!Sample_311</t>
  </si>
  <si>
    <t>$YK$1:$YK$56</t>
  </si>
  <si>
    <t>Imported Module'!Sample_312</t>
  </si>
  <si>
    <t>$YJ$1:$YJ$218</t>
  </si>
  <si>
    <t>Imported Module'!Sample_313</t>
  </si>
  <si>
    <t>$YI$1:$YI$145</t>
  </si>
  <si>
    <t>Imported Module'!Sample_314</t>
  </si>
  <si>
    <t>$YH$1:$YH$156</t>
  </si>
  <si>
    <t>Imported Module'!Sample_315</t>
  </si>
  <si>
    <t>$YG$1:$YG$466</t>
  </si>
  <si>
    <t>Imported Module'!Sample_316</t>
  </si>
  <si>
    <t>$YF$1:$YF$235</t>
  </si>
  <si>
    <t>Imported Module'!Sample_317</t>
  </si>
  <si>
    <t>$YE$1:$YE$296</t>
  </si>
  <si>
    <t>Imported Module'!Sample_318</t>
  </si>
  <si>
    <t>$YD$1:$YD$229</t>
  </si>
  <si>
    <t>Imported Module'!Sample_319</t>
  </si>
  <si>
    <t>$YC$1:$YC$307</t>
  </si>
  <si>
    <t>Imported Module'!Sample_32</t>
  </si>
  <si>
    <t>Imported Module'!Sample_320</t>
  </si>
  <si>
    <t>$YB$1:$YB$15</t>
  </si>
  <si>
    <t>Imported Module'!Sample_321</t>
  </si>
  <si>
    <t>$YA$1:$YA$391</t>
  </si>
  <si>
    <t>Imported Module'!Sample_322</t>
  </si>
  <si>
    <t>$XZ$1:$XZ$6</t>
  </si>
  <si>
    <t>Imported Module'!Sample_323</t>
  </si>
  <si>
    <t>$XY$1:$XY$5</t>
  </si>
  <si>
    <t>Imported Module'!Sample_324</t>
  </si>
  <si>
    <t>$XX$1:$XX$1084</t>
  </si>
  <si>
    <t>Imported Module'!Sample_325</t>
  </si>
  <si>
    <t>$XW$1:$XW$122</t>
  </si>
  <si>
    <t>Imported Module'!Sample_326</t>
  </si>
  <si>
    <t>$XV$1:$XV$198</t>
  </si>
  <si>
    <t>Imported Module'!Sample_327</t>
  </si>
  <si>
    <t>$XU$1:$XU$373</t>
  </si>
  <si>
    <t>Imported Module'!Sample_328</t>
  </si>
  <si>
    <t>$XU$1:$XU$543</t>
  </si>
  <si>
    <t>Imported Module'!Sample_329</t>
  </si>
  <si>
    <t>Imported Module'!Sample_33</t>
  </si>
  <si>
    <t>Imported Module'!Sample_330</t>
  </si>
  <si>
    <t>Imported Module'!Sample_331</t>
  </si>
  <si>
    <t>Imported Module'!Sample_332</t>
  </si>
  <si>
    <t>Imported Module'!Sample_333</t>
  </si>
  <si>
    <t>Imported Module'!Sample_334</t>
  </si>
  <si>
    <t>Imported Module'!Sample_335</t>
  </si>
  <si>
    <t>Imported Module'!Sample_336</t>
  </si>
  <si>
    <t>Imported Module'!Sample_337</t>
  </si>
  <si>
    <t>Imported Module'!Sample_338</t>
  </si>
  <si>
    <t>$XT$1:$XT$239</t>
  </si>
  <si>
    <t>Imported Module'!Sample_339</t>
  </si>
  <si>
    <t>$XS$1:$XS$44</t>
  </si>
  <si>
    <t>Imported Module'!Sample_34</t>
  </si>
  <si>
    <t>Imported Module'!Sample_340</t>
  </si>
  <si>
    <t>$XR$1:$XR$305</t>
  </si>
  <si>
    <t>Imported Module'!Sample_341</t>
  </si>
  <si>
    <t>$XQ$1:$XQ$56</t>
  </si>
  <si>
    <t>Imported Module'!Sample_342</t>
  </si>
  <si>
    <t>$XP$1:$XP$218</t>
  </si>
  <si>
    <t>Imported Module'!Sample_343</t>
  </si>
  <si>
    <t>$XO$1:$XO$145</t>
  </si>
  <si>
    <t>Imported Module'!Sample_344</t>
  </si>
  <si>
    <t>$XN$1:$XN$151</t>
  </si>
  <si>
    <t>Imported Module'!Sample_345</t>
  </si>
  <si>
    <t>$XM$1:$XM$448</t>
  </si>
  <si>
    <t>Imported Module'!Sample_346</t>
  </si>
  <si>
    <t>$XL$1:$XL$181</t>
  </si>
  <si>
    <t>Imported Module'!Sample_347</t>
  </si>
  <si>
    <t>$XK$1:$XK$296</t>
  </si>
  <si>
    <t>Imported Module'!Sample_348</t>
  </si>
  <si>
    <t>$XJ$1:$XJ$260</t>
  </si>
  <si>
    <t>Imported Module'!Sample_349</t>
  </si>
  <si>
    <t>$XI$1:$XI$361</t>
  </si>
  <si>
    <t>Imported Module'!Sample_35</t>
  </si>
  <si>
    <t>Imported Module'!Sample_350</t>
  </si>
  <si>
    <t>$XH$1:$XH$10</t>
  </si>
  <si>
    <t>Imported Module'!Sample_351</t>
  </si>
  <si>
    <t>$XG$1:$XG$363</t>
  </si>
  <si>
    <t>Imported Module'!Sample_352</t>
  </si>
  <si>
    <t>$XF$1:$XF$6</t>
  </si>
  <si>
    <t>Imported Module'!Sample_353</t>
  </si>
  <si>
    <t>$XE$1:$XE$5</t>
  </si>
  <si>
    <t>Imported Module'!Sample_354</t>
  </si>
  <si>
    <t>$XD$1:$XD$1084</t>
  </si>
  <si>
    <t>Imported Module'!Sample_355</t>
  </si>
  <si>
    <t>$XC$1:$XC$122</t>
  </si>
  <si>
    <t>Imported Module'!Sample_356</t>
  </si>
  <si>
    <t>$XB$1:$XB$167</t>
  </si>
  <si>
    <t>Imported Module'!Sample_357</t>
  </si>
  <si>
    <t>$XA$1:$XA$373</t>
  </si>
  <si>
    <t>Imported Module'!Sample_358</t>
  </si>
  <si>
    <t>$WZ$1:$WZ$106</t>
  </si>
  <si>
    <t>Imported Module'!Sample_359</t>
  </si>
  <si>
    <t>$WY$1:$WY$9</t>
  </si>
  <si>
    <t>Imported Module'!Sample_36</t>
  </si>
  <si>
    <t>Imported Module'!Sample_360</t>
  </si>
  <si>
    <t>$WX$1:$WX$9</t>
  </si>
  <si>
    <t>Imported Module'!Sample_361</t>
  </si>
  <si>
    <t>$WW$1:$WW$9</t>
  </si>
  <si>
    <t>Imported Module'!Sample_362</t>
  </si>
  <si>
    <t>$WV$1:$WV$9</t>
  </si>
  <si>
    <t>Imported Module'!Sample_363</t>
  </si>
  <si>
    <t>$WU$1:$WU$9</t>
  </si>
  <si>
    <t>Imported Module'!Sample_364</t>
  </si>
  <si>
    <t>$WT$1:$WT$9</t>
  </si>
  <si>
    <t>Imported Module'!Sample_365</t>
  </si>
  <si>
    <t>$WS$1:$WS$9</t>
  </si>
  <si>
    <t>Imported Module'!Sample_366</t>
  </si>
  <si>
    <t>$WR$1:$WR$9</t>
  </si>
  <si>
    <t>Imported Module'!Sample_367</t>
  </si>
  <si>
    <t>$WQ$1:$WQ$9</t>
  </si>
  <si>
    <t>Imported Module'!Sample_368</t>
  </si>
  <si>
    <t>$WP$1:$WP$9</t>
  </si>
  <si>
    <t>Imported Module'!Sample_369</t>
  </si>
  <si>
    <t>$WO$1:$WO$9</t>
  </si>
  <si>
    <t>Imported Module'!Sample_37</t>
  </si>
  <si>
    <t>Imported Module'!Sample_370</t>
  </si>
  <si>
    <t>$WN$1:$WN$9</t>
  </si>
  <si>
    <t>Imported Module'!Sample_371</t>
  </si>
  <si>
    <t>$WM$1:$WM$9</t>
  </si>
  <si>
    <t>Imported Module'!Sample_372</t>
  </si>
  <si>
    <t>$WL$1:$WL$9</t>
  </si>
  <si>
    <t>Imported Module'!Sample_373</t>
  </si>
  <si>
    <t>$WK$1:$WK$9</t>
  </si>
  <si>
    <t>Imported Module'!Sample_374</t>
  </si>
  <si>
    <t>$WJ$1:$WJ$9</t>
  </si>
  <si>
    <t>Imported Module'!Sample_375</t>
  </si>
  <si>
    <t>$WI$1:$WI$9</t>
  </si>
  <si>
    <t>Imported Module'!Sample_376</t>
  </si>
  <si>
    <t>$WH$1:$WH$233</t>
  </si>
  <si>
    <t>Imported Module'!Sample_377</t>
  </si>
  <si>
    <t>$WG$1:$WG$9</t>
  </si>
  <si>
    <t>Imported Module'!Sample_378</t>
  </si>
  <si>
    <t>$WF$1:$WF$9</t>
  </si>
  <si>
    <t>Imported Module'!Sample_379</t>
  </si>
  <si>
    <t>$WE$1:$WE$9</t>
  </si>
  <si>
    <t>Imported Module'!Sample_38</t>
  </si>
  <si>
    <t>Imported Module'!Sample_380</t>
  </si>
  <si>
    <t>$WD$1:$WD$102</t>
  </si>
  <si>
    <t>Imported Module'!Sample_381</t>
  </si>
  <si>
    <t>$WC$1:$WC$33</t>
  </si>
  <si>
    <t>Imported Module'!Sample_382</t>
  </si>
  <si>
    <t>$WB$1:$WB$134</t>
  </si>
  <si>
    <t>Imported Module'!Sample_383</t>
  </si>
  <si>
    <t>$WA$1:$WA$90</t>
  </si>
  <si>
    <t>Imported Module'!Sample_384</t>
  </si>
  <si>
    <t>$VZ$1:$VZ$9</t>
  </si>
  <si>
    <t>Imported Module'!Sample_385</t>
  </si>
  <si>
    <t>$VY$1:$VY$83</t>
  </si>
  <si>
    <t>Imported Module'!Sample_386</t>
  </si>
  <si>
    <t>$VX$1:$VX$11</t>
  </si>
  <si>
    <t>Imported Module'!Sample_387</t>
  </si>
  <si>
    <t>$VW$1:$VW$75</t>
  </si>
  <si>
    <t>Imported Module'!Sample_388</t>
  </si>
  <si>
    <t>$VV$1:$VV$7</t>
  </si>
  <si>
    <t>Imported Module'!Sample_389</t>
  </si>
  <si>
    <t>$VU$1:$VU$87</t>
  </si>
  <si>
    <t>Imported Module'!Sample_39</t>
  </si>
  <si>
    <t>Imported Module'!Sample_390</t>
  </si>
  <si>
    <t>$VT$1:$VT$12</t>
  </si>
  <si>
    <t>Imported Module'!Sample_391</t>
  </si>
  <si>
    <t>$VS$1:$VS$278</t>
  </si>
  <si>
    <t>Imported Module'!Sample_394</t>
  </si>
  <si>
    <t>$VS$1:$VS$543</t>
  </si>
  <si>
    <t>Imported Module'!Sample_395</t>
  </si>
  <si>
    <t>Imported Module'!Sample_396</t>
  </si>
  <si>
    <t>Imported Module'!Sample_397</t>
  </si>
  <si>
    <t>Imported Module'!Sample_398</t>
  </si>
  <si>
    <t>Imported Module'!Sample_399</t>
  </si>
  <si>
    <t>Imported Module'!Sample_4</t>
  </si>
  <si>
    <t>$AAW$1:$AAZ$644</t>
  </si>
  <si>
    <t>Imported Module'!Sample_40</t>
  </si>
  <si>
    <t>Imported Module'!Sample_400</t>
  </si>
  <si>
    <t>Imported Module'!Sample_401</t>
  </si>
  <si>
    <t>Imported Module'!Sample_402</t>
  </si>
  <si>
    <t>Imported Module'!Sample_403</t>
  </si>
  <si>
    <t>Imported Module'!Sample_404</t>
  </si>
  <si>
    <t>Imported Module'!Sample_405</t>
  </si>
  <si>
    <t>Imported Module'!Sample_406</t>
  </si>
  <si>
    <t>Imported Module'!Sample_407</t>
  </si>
  <si>
    <t>Imported Module'!Sample_408</t>
  </si>
  <si>
    <t>Imported Module'!Sample_41</t>
  </si>
  <si>
    <t>Imported Module'!Sample_410</t>
  </si>
  <si>
    <t>Imported Module'!Sample_411</t>
  </si>
  <si>
    <t>Imported Module'!Sample_412</t>
  </si>
  <si>
    <t>Imported Module'!Sample_413</t>
  </si>
  <si>
    <t>Imported Module'!Sample_414</t>
  </si>
  <si>
    <t>Imported Module'!Sample_415</t>
  </si>
  <si>
    <t>Imported Module'!Sample_416</t>
  </si>
  <si>
    <t>Imported Module'!Sample_417</t>
  </si>
  <si>
    <t>Imported Module'!Sample_418</t>
  </si>
  <si>
    <t>Imported Module'!Sample_419</t>
  </si>
  <si>
    <t>Imported Module'!Sample_42</t>
  </si>
  <si>
    <t>Imported Module'!Sample_420</t>
  </si>
  <si>
    <t>Imported Module'!Sample_421</t>
  </si>
  <si>
    <t>Imported Module'!Sample_422</t>
  </si>
  <si>
    <t>Imported Module'!Sample_423</t>
  </si>
  <si>
    <t>Imported Module'!Sample_424</t>
  </si>
  <si>
    <t>Imported Module'!Sample_425</t>
  </si>
  <si>
    <t>Imported Module'!Sample_426</t>
  </si>
  <si>
    <t>Imported Module'!Sample_427</t>
  </si>
  <si>
    <t>Imported Module'!Sample_428</t>
  </si>
  <si>
    <t>Imported Module'!Sample_429</t>
  </si>
  <si>
    <t>Imported Module'!Sample_43</t>
  </si>
  <si>
    <t>Imported Module'!Sample_430</t>
  </si>
  <si>
    <t>Imported Module'!Sample_431</t>
  </si>
  <si>
    <t>Imported Module'!Sample_432</t>
  </si>
  <si>
    <t>$VR$1:$VR$239</t>
  </si>
  <si>
    <t>Imported Module'!Sample_433</t>
  </si>
  <si>
    <t>$VQ$1:$VQ$44</t>
  </si>
  <si>
    <t>Imported Module'!Sample_434</t>
  </si>
  <si>
    <t>$VP$1:$VP$305</t>
  </si>
  <si>
    <t>Imported Module'!Sample_435</t>
  </si>
  <si>
    <t>$VO$1:$VO$56</t>
  </si>
  <si>
    <t>Imported Module'!Sample_436</t>
  </si>
  <si>
    <t>$VN$1:$VN$218</t>
  </si>
  <si>
    <t>Imported Module'!Sample_437</t>
  </si>
  <si>
    <t>$VM$1:$VM$145</t>
  </si>
  <si>
    <t>Imported Module'!Sample_438</t>
  </si>
  <si>
    <t>$VL$1:$VL$151</t>
  </si>
  <si>
    <t>Imported Module'!Sample_439</t>
  </si>
  <si>
    <t>$VK$1:$VK$260</t>
  </si>
  <si>
    <t>Imported Module'!Sample_44</t>
  </si>
  <si>
    <t>Imported Module'!Sample_440</t>
  </si>
  <si>
    <t>$VJ$1:$VJ$448</t>
  </si>
  <si>
    <t>Imported Module'!Sample_441</t>
  </si>
  <si>
    <t>$VI$1:$VI$181</t>
  </si>
  <si>
    <t>Imported Module'!Sample_442</t>
  </si>
  <si>
    <t>$VH$1:$VH$296</t>
  </si>
  <si>
    <t>Imported Module'!Sample_443</t>
  </si>
  <si>
    <t>$VG$1:$VG$361</t>
  </si>
  <si>
    <t>Imported Module'!Sample_444</t>
  </si>
  <si>
    <t>$VF$1:$VF$10</t>
  </si>
  <si>
    <t>Imported Module'!Sample_445</t>
  </si>
  <si>
    <t>$VE$1:$VE$363</t>
  </si>
  <si>
    <t>Imported Module'!Sample_446</t>
  </si>
  <si>
    <t>$VD$1:$VD$6</t>
  </si>
  <si>
    <t>Imported Module'!Sample_447</t>
  </si>
  <si>
    <t>$VC$1:$VC$5</t>
  </si>
  <si>
    <t>Imported Module'!Sample_448</t>
  </si>
  <si>
    <t>$VB$1:$VB$122</t>
  </si>
  <si>
    <t>Imported Module'!Sample_449</t>
  </si>
  <si>
    <t>$VA$1:$VA$167</t>
  </si>
  <si>
    <t>Imported Module'!Sample_45</t>
  </si>
  <si>
    <t>Imported Module'!Sample_450</t>
  </si>
  <si>
    <t>$UZ$1:$UZ$373</t>
  </si>
  <si>
    <t>Imported Module'!Sample_451</t>
  </si>
  <si>
    <t>$UY$1:$UY$102</t>
  </si>
  <si>
    <t>Imported Module'!Sample_452</t>
  </si>
  <si>
    <t>$UX$1:$UX$134</t>
  </si>
  <si>
    <t>Imported Module'!Sample_453</t>
  </si>
  <si>
    <t>$UW$1:$UW$278</t>
  </si>
  <si>
    <t>Imported Module'!Sample_454</t>
  </si>
  <si>
    <t>$UV$1:$UV$106</t>
  </si>
  <si>
    <t>Imported Module'!Sample_455</t>
  </si>
  <si>
    <t>$UU$1:$UU$9</t>
  </si>
  <si>
    <t>Imported Module'!Sample_456</t>
  </si>
  <si>
    <t>$UT$1:$UT$9</t>
  </si>
  <si>
    <t>Imported Module'!Sample_457</t>
  </si>
  <si>
    <t>$US$1:$US$9</t>
  </si>
  <si>
    <t>Imported Module'!Sample_458</t>
  </si>
  <si>
    <t>$UR$1:$UR$9</t>
  </si>
  <si>
    <t>Imported Module'!Sample_459</t>
  </si>
  <si>
    <t>$UQ$1:$UQ$9</t>
  </si>
  <si>
    <t>Imported Module'!Sample_46</t>
  </si>
  <si>
    <t>Imported Module'!Sample_460</t>
  </si>
  <si>
    <t>$UP$1:$UP$9</t>
  </si>
  <si>
    <t>Imported Module'!Sample_461</t>
  </si>
  <si>
    <t>$UO$1:$UO$9</t>
  </si>
  <si>
    <t>Imported Module'!Sample_462</t>
  </si>
  <si>
    <t>$UN$1:$UN$9</t>
  </si>
  <si>
    <t>Imported Module'!Sample_463</t>
  </si>
  <si>
    <t>$UM$1:$UM$9</t>
  </si>
  <si>
    <t>Imported Module'!Sample_464</t>
  </si>
  <si>
    <t>$UL$1:$UL$9</t>
  </si>
  <si>
    <t>Imported Module'!Sample_465</t>
  </si>
  <si>
    <t>$UK$1:$UK$9</t>
  </si>
  <si>
    <t>Imported Module'!Sample_466</t>
  </si>
  <si>
    <t>$UJ$1:$UJ$9</t>
  </si>
  <si>
    <t>Imported Module'!Sample_467</t>
  </si>
  <si>
    <t>$UI$1:$UI$9</t>
  </si>
  <si>
    <t>Imported Module'!Sample_468</t>
  </si>
  <si>
    <t>$UH$1:$UH$9</t>
  </si>
  <si>
    <t>Imported Module'!Sample_469</t>
  </si>
  <si>
    <t>$UG$1:$UG$9</t>
  </si>
  <si>
    <t>Imported Module'!Sample_47</t>
  </si>
  <si>
    <t>Imported Module'!Sample_470</t>
  </si>
  <si>
    <t>$UF$1:$UF$9</t>
  </si>
  <si>
    <t>Imported Module'!Sample_471</t>
  </si>
  <si>
    <t>$UE$1:$UE$9</t>
  </si>
  <si>
    <t>Imported Module'!Sample_472</t>
  </si>
  <si>
    <t>$UD$1:$UD$233</t>
  </si>
  <si>
    <t>Imported Module'!Sample_473</t>
  </si>
  <si>
    <t>$UC$1:$UC$9</t>
  </si>
  <si>
    <t>Imported Module'!Sample_474</t>
  </si>
  <si>
    <t>$UB$1:$UB$9</t>
  </si>
  <si>
    <t>Imported Module'!Sample_475</t>
  </si>
  <si>
    <t>$UA$1:$UA$9</t>
  </si>
  <si>
    <t>Imported Module'!Sample_476</t>
  </si>
  <si>
    <t>$TZ$1:$TZ$33</t>
  </si>
  <si>
    <t>Imported Module'!Sample_477</t>
  </si>
  <si>
    <t>$TY$1:$TY$90</t>
  </si>
  <si>
    <t>Imported Module'!Sample_478</t>
  </si>
  <si>
    <t>$TX$1:$TX$83</t>
  </si>
  <si>
    <t>Imported Module'!Sample_479</t>
  </si>
  <si>
    <t>$TW$1:$TW$75</t>
  </si>
  <si>
    <t>Imported Module'!Sample_48</t>
  </si>
  <si>
    <t>Imported Module'!Sample_480</t>
  </si>
  <si>
    <t>$TV$1:$TV$87</t>
  </si>
  <si>
    <t>Imported Module'!Sample_481</t>
  </si>
  <si>
    <t>$TV$1:$TV$543</t>
  </si>
  <si>
    <t>Imported Module'!Sample_482</t>
  </si>
  <si>
    <t>Imported Module'!Sample_483</t>
  </si>
  <si>
    <t>$TU$1:$TU$239</t>
  </si>
  <si>
    <t>Imported Module'!Sample_484</t>
  </si>
  <si>
    <t>$TT$1:$TT$44</t>
  </si>
  <si>
    <t>Imported Module'!Sample_485</t>
  </si>
  <si>
    <t>$TS$1:$TS$305</t>
  </si>
  <si>
    <t>Imported Module'!Sample_486</t>
  </si>
  <si>
    <t>$TR$1:$TR$56</t>
  </si>
  <si>
    <t>Imported Module'!Sample_487</t>
  </si>
  <si>
    <t>$TQ$1:$TQ$218</t>
  </si>
  <si>
    <t>Imported Module'!Sample_488</t>
  </si>
  <si>
    <t>$TP$1:$TP$145</t>
  </si>
  <si>
    <t>Imported Module'!Sample_489</t>
  </si>
  <si>
    <t>$TO$1:$TO$151</t>
  </si>
  <si>
    <t>Imported Module'!Sample_49</t>
  </si>
  <si>
    <t>Imported Module'!Sample_490</t>
  </si>
  <si>
    <t>$TN$1:$TN$260</t>
  </si>
  <si>
    <t>Imported Module'!Sample_491</t>
  </si>
  <si>
    <t>$TM$1:$TM$448</t>
  </si>
  <si>
    <t>Imported Module'!Sample_492</t>
  </si>
  <si>
    <t>$TL$1:$TL$181</t>
  </si>
  <si>
    <t>Imported Module'!Sample_493</t>
  </si>
  <si>
    <t>$TK$1:$TK$296</t>
  </si>
  <si>
    <t>Imported Module'!Sample_494</t>
  </si>
  <si>
    <t>$TJ$1:$TJ$361</t>
  </si>
  <si>
    <t>Imported Module'!Sample_495</t>
  </si>
  <si>
    <t>$TI$1:$TI$10</t>
  </si>
  <si>
    <t>Imported Module'!Sample_496</t>
  </si>
  <si>
    <t>$TH$1:$TH$363</t>
  </si>
  <si>
    <t>Imported Module'!Sample_497</t>
  </si>
  <si>
    <t>$TG$1:$TG$6</t>
  </si>
  <si>
    <t>Imported Module'!Sample_498</t>
  </si>
  <si>
    <t>$TF$1:$TF$5</t>
  </si>
  <si>
    <t>Imported Module'!Sample_499</t>
  </si>
  <si>
    <t>$TE$1:$TE$122</t>
  </si>
  <si>
    <t>Imported Module'!Sample_5</t>
  </si>
  <si>
    <t>Imported Module'!Sample_50</t>
  </si>
  <si>
    <t>Imported Module'!Sample_500</t>
  </si>
  <si>
    <t>$TD$1:$TD$167</t>
  </si>
  <si>
    <t>Imported Module'!Sample_501</t>
  </si>
  <si>
    <t>$TC$1:$TC$373</t>
  </si>
  <si>
    <t>Imported Module'!Sample_502</t>
  </si>
  <si>
    <t>$TB$1:$TB$102</t>
  </si>
  <si>
    <t>Imported Module'!Sample_503</t>
  </si>
  <si>
    <t>$TA$1:$TA$134</t>
  </si>
  <si>
    <t>Imported Module'!Sample_504</t>
  </si>
  <si>
    <t>$SZ$1:$SZ$278</t>
  </si>
  <si>
    <t>Imported Module'!Sample_505</t>
  </si>
  <si>
    <t>$SY$1:$SY$106</t>
  </si>
  <si>
    <t>Imported Module'!Sample_506</t>
  </si>
  <si>
    <t>$SX$1:$SX$9</t>
  </si>
  <si>
    <t>Imported Module'!Sample_507</t>
  </si>
  <si>
    <t>$SW$1:$SW$9</t>
  </si>
  <si>
    <t>Imported Module'!Sample_508</t>
  </si>
  <si>
    <t>$SV$1:$SV$9</t>
  </si>
  <si>
    <t>Imported Module'!Sample_509</t>
  </si>
  <si>
    <t>$SU$1:$SU$9</t>
  </si>
  <si>
    <t>Imported Module'!Sample_51</t>
  </si>
  <si>
    <t>Imported Module'!Sample_510</t>
  </si>
  <si>
    <t>$ST$1:$ST$9</t>
  </si>
  <si>
    <t>Imported Module'!Sample_511</t>
  </si>
  <si>
    <t>$SS$1:$SS$9</t>
  </si>
  <si>
    <t>Imported Module'!Sample_512</t>
  </si>
  <si>
    <t>$SR$1:$SR$9</t>
  </si>
  <si>
    <t>Imported Module'!Sample_513</t>
  </si>
  <si>
    <t>$SQ$1:$SQ$9</t>
  </si>
  <si>
    <t>Imported Module'!Sample_514</t>
  </si>
  <si>
    <t>$SP$1:$SP$9</t>
  </si>
  <si>
    <t>Imported Module'!Sample_515</t>
  </si>
  <si>
    <t>$SO$1:$SO$9</t>
  </si>
  <si>
    <t>Imported Module'!Sample_516</t>
  </si>
  <si>
    <t>$SN$1:$SN$9</t>
  </si>
  <si>
    <t>Imported Module'!Sample_517</t>
  </si>
  <si>
    <t>$SM$1:$SM$9</t>
  </si>
  <si>
    <t>Imported Module'!Sample_518</t>
  </si>
  <si>
    <t>$SL$1:$SL$9</t>
  </si>
  <si>
    <t>Imported Module'!Sample_519</t>
  </si>
  <si>
    <t>$SK$1:$SK$9</t>
  </si>
  <si>
    <t>Imported Module'!Sample_52</t>
  </si>
  <si>
    <t>Imported Module'!Sample_520</t>
  </si>
  <si>
    <t>$SJ$1:$SJ$9</t>
  </si>
  <si>
    <t>Imported Module'!Sample_521</t>
  </si>
  <si>
    <t>$SI$1:$SI$9</t>
  </si>
  <si>
    <t>Imported Module'!Sample_522</t>
  </si>
  <si>
    <t>$SH$1:$SH$9</t>
  </si>
  <si>
    <t>Imported Module'!Sample_523</t>
  </si>
  <si>
    <t>$SG$1:$SG$233</t>
  </si>
  <si>
    <t>Imported Module'!Sample_524</t>
  </si>
  <si>
    <t>$SF$1:$SF$9</t>
  </si>
  <si>
    <t>Imported Module'!Sample_525</t>
  </si>
  <si>
    <t>$SE$1:$SE$9</t>
  </si>
  <si>
    <t>Imported Module'!Sample_526</t>
  </si>
  <si>
    <t>$SD$1:$SD$9</t>
  </si>
  <si>
    <t>Imported Module'!Sample_527</t>
  </si>
  <si>
    <t>$SC$1:$SC$33</t>
  </si>
  <si>
    <t>Imported Module'!Sample_528</t>
  </si>
  <si>
    <t>$SB$1:$SB$90</t>
  </si>
  <si>
    <t>Imported Module'!Sample_529</t>
  </si>
  <si>
    <t>$SA$1:$SA$83</t>
  </si>
  <si>
    <t>Imported Module'!Sample_53</t>
  </si>
  <si>
    <t>Imported Module'!Sample_530</t>
  </si>
  <si>
    <t>$RZ$1:$RZ$75</t>
  </si>
  <si>
    <t>Imported Module'!Sample_531</t>
  </si>
  <si>
    <t>$RY$1:$RY$87</t>
  </si>
  <si>
    <t>Imported Module'!Sample_532</t>
  </si>
  <si>
    <t>$RY$1:$RY$543</t>
  </si>
  <si>
    <t>Imported Module'!Sample_533</t>
  </si>
  <si>
    <t>Imported Module'!Sample_534</t>
  </si>
  <si>
    <t>$RX$1:$RX$239</t>
  </si>
  <si>
    <t>Imported Module'!Sample_535</t>
  </si>
  <si>
    <t>$RW$1:$RW$44</t>
  </si>
  <si>
    <t>Imported Module'!Sample_536</t>
  </si>
  <si>
    <t>$RV$1:$RV$305</t>
  </si>
  <si>
    <t>Imported Module'!Sample_537</t>
  </si>
  <si>
    <t>$RU$1:$RU$56</t>
  </si>
  <si>
    <t>Imported Module'!Sample_538</t>
  </si>
  <si>
    <t>$RT$1:$RT$218</t>
  </si>
  <si>
    <t>Imported Module'!Sample_539</t>
  </si>
  <si>
    <t>$RS$1:$RS$145</t>
  </si>
  <si>
    <t>Imported Module'!Sample_54</t>
  </si>
  <si>
    <t>Imported Module'!Sample_540</t>
  </si>
  <si>
    <t>$RR$1:$RR$151</t>
  </si>
  <si>
    <t>Imported Module'!Sample_541</t>
  </si>
  <si>
    <t>$RQ$1:$RQ$260</t>
  </si>
  <si>
    <t>Imported Module'!Sample_542</t>
  </si>
  <si>
    <t>$RP$1:$RP$448</t>
  </si>
  <si>
    <t>Imported Module'!Sample_543</t>
  </si>
  <si>
    <t>$RO$1:$RO$181</t>
  </si>
  <si>
    <t>Imported Module'!Sample_544</t>
  </si>
  <si>
    <t>$RN$1:$RN$296</t>
  </si>
  <si>
    <t>Imported Module'!Sample_545</t>
  </si>
  <si>
    <t>$RM$1:$RM$361</t>
  </si>
  <si>
    <t>Imported Module'!Sample_546</t>
  </si>
  <si>
    <t>$RL$1:$RL$10</t>
  </si>
  <si>
    <t>Imported Module'!Sample_547</t>
  </si>
  <si>
    <t>$RK$1:$RK$363</t>
  </si>
  <si>
    <t>Imported Module'!Sample_548</t>
  </si>
  <si>
    <t>$RJ$1:$RJ$6</t>
  </si>
  <si>
    <t>Imported Module'!Sample_549</t>
  </si>
  <si>
    <t>$RI$1:$RI$5</t>
  </si>
  <si>
    <t>Imported Module'!Sample_55</t>
  </si>
  <si>
    <t>Imported Module'!Sample_550</t>
  </si>
  <si>
    <t>$RH$1:$RH$122</t>
  </si>
  <si>
    <t>Imported Module'!Sample_551</t>
  </si>
  <si>
    <t>$RG$1:$RG$167</t>
  </si>
  <si>
    <t>Imported Module'!Sample_552</t>
  </si>
  <si>
    <t>$RF$1:$RF$373</t>
  </si>
  <si>
    <t>Imported Module'!Sample_553</t>
  </si>
  <si>
    <t>$RE$1:$RE$102</t>
  </si>
  <si>
    <t>Imported Module'!Sample_554</t>
  </si>
  <si>
    <t>$RD$1:$RD$134</t>
  </si>
  <si>
    <t>Imported Module'!Sample_555</t>
  </si>
  <si>
    <t>$RC$1:$RC$278</t>
  </si>
  <si>
    <t>Imported Module'!Sample_556</t>
  </si>
  <si>
    <t>$RB$1:$RB$106</t>
  </si>
  <si>
    <t>Imported Module'!Sample_557</t>
  </si>
  <si>
    <t>$RA$1:$RA$9</t>
  </si>
  <si>
    <t>Imported Module'!Sample_558</t>
  </si>
  <si>
    <t>$QZ$1:$QZ$9</t>
  </si>
  <si>
    <t>Imported Module'!Sample_559</t>
  </si>
  <si>
    <t>$QY$1:$QY$9</t>
  </si>
  <si>
    <t>Imported Module'!Sample_56</t>
  </si>
  <si>
    <t>Imported Module'!Sample_560</t>
  </si>
  <si>
    <t>$QX$1:$QX$9</t>
  </si>
  <si>
    <t>Imported Module'!Sample_561</t>
  </si>
  <si>
    <t>$QW$1:$QW$9</t>
  </si>
  <si>
    <t>Imported Module'!Sample_562</t>
  </si>
  <si>
    <t>$QV$1:$QV$9</t>
  </si>
  <si>
    <t>Imported Module'!Sample_563</t>
  </si>
  <si>
    <t>$QU$1:$QU$9</t>
  </si>
  <si>
    <t>Imported Module'!Sample_564</t>
  </si>
  <si>
    <t>$QT$1:$QT$9</t>
  </si>
  <si>
    <t>Imported Module'!Sample_565</t>
  </si>
  <si>
    <t>$QS$1:$QS$9</t>
  </si>
  <si>
    <t>Imported Module'!Sample_566</t>
  </si>
  <si>
    <t>$QR$1:$QR$9</t>
  </si>
  <si>
    <t>Imported Module'!Sample_567</t>
  </si>
  <si>
    <t>$QQ$1:$QQ$9</t>
  </si>
  <si>
    <t>Imported Module'!Sample_568</t>
  </si>
  <si>
    <t>$QP$1:$QP$9</t>
  </si>
  <si>
    <t>Imported Module'!Sample_569</t>
  </si>
  <si>
    <t>$QO$1:$QO$9</t>
  </si>
  <si>
    <t>Imported Module'!Sample_57</t>
  </si>
  <si>
    <t>Imported Module'!Sample_570</t>
  </si>
  <si>
    <t>$QN$1:$QN$9</t>
  </si>
  <si>
    <t>Imported Module'!Sample_571</t>
  </si>
  <si>
    <t>$QM$1:$QM$9</t>
  </si>
  <si>
    <t>Imported Module'!Sample_572</t>
  </si>
  <si>
    <t>$QL$1:$QL$9</t>
  </si>
  <si>
    <t>Imported Module'!Sample_573</t>
  </si>
  <si>
    <t>$QK$1:$QK$9</t>
  </si>
  <si>
    <t>Imported Module'!Sample_574</t>
  </si>
  <si>
    <t>$QJ$1:$QJ$233</t>
  </si>
  <si>
    <t>Imported Module'!Sample_575</t>
  </si>
  <si>
    <t>$QI$1:$QI$9</t>
  </si>
  <si>
    <t>Imported Module'!Sample_576</t>
  </si>
  <si>
    <t>$QH$1:$QH$9</t>
  </si>
  <si>
    <t>Imported Module'!Sample_577</t>
  </si>
  <si>
    <t>$QG$1:$QG$9</t>
  </si>
  <si>
    <t>Imported Module'!Sample_578</t>
  </si>
  <si>
    <t>$QF$1:$QF$33</t>
  </si>
  <si>
    <t>Imported Module'!Sample_579</t>
  </si>
  <si>
    <t>$QE$1:$QE$90</t>
  </si>
  <si>
    <t>Imported Module'!Sample_58</t>
  </si>
  <si>
    <t>Imported Module'!Sample_580</t>
  </si>
  <si>
    <t>$QD$1:$QD$83</t>
  </si>
  <si>
    <t>Imported Module'!Sample_581</t>
  </si>
  <si>
    <t>$QC$1:$QC$75</t>
  </si>
  <si>
    <t>Imported Module'!Sample_582</t>
  </si>
  <si>
    <t>$QB$1:$QB$87</t>
  </si>
  <si>
    <t>Imported Module'!Sample_583</t>
  </si>
  <si>
    <t>$QB$1:$QB$543</t>
  </si>
  <si>
    <t>Imported Module'!Sample_584</t>
  </si>
  <si>
    <t>$QA$1:$QA$239</t>
  </si>
  <si>
    <t>Imported Module'!Sample_585</t>
  </si>
  <si>
    <t>$PZ$1:$PZ$44</t>
  </si>
  <si>
    <t>Imported Module'!Sample_586</t>
  </si>
  <si>
    <t>$PY$1:$PY$305</t>
  </si>
  <si>
    <t>Imported Module'!Sample_587</t>
  </si>
  <si>
    <t>$PX$1:$PX$56</t>
  </si>
  <si>
    <t>Imported Module'!Sample_588</t>
  </si>
  <si>
    <t>$PW$1:$PW$218</t>
  </si>
  <si>
    <t>Imported Module'!Sample_589</t>
  </si>
  <si>
    <t>$PV$1:$PV$145</t>
  </si>
  <si>
    <t>Imported Module'!Sample_59</t>
  </si>
  <si>
    <t>Imported Module'!Sample_590</t>
  </si>
  <si>
    <t>$PU$1:$PU$151</t>
  </si>
  <si>
    <t>Imported Module'!Sample_591</t>
  </si>
  <si>
    <t>$PT$1:$PT$260</t>
  </si>
  <si>
    <t>Imported Module'!Sample_592</t>
  </si>
  <si>
    <t>$PS$1:$PS$448</t>
  </si>
  <si>
    <t>Imported Module'!Sample_593</t>
  </si>
  <si>
    <t>$PR$1:$PR$181</t>
  </si>
  <si>
    <t>Imported Module'!Sample_594</t>
  </si>
  <si>
    <t>$PQ$1:$PQ$296</t>
  </si>
  <si>
    <t>Imported Module'!Sample_595</t>
  </si>
  <si>
    <t>$PP$1:$PP$361</t>
  </si>
  <si>
    <t>Imported Module'!Sample_596</t>
  </si>
  <si>
    <t>$PO$1:$PO$10</t>
  </si>
  <si>
    <t>Imported Module'!Sample_597</t>
  </si>
  <si>
    <t>$PN$1:$PN$363</t>
  </si>
  <si>
    <t>Imported Module'!Sample_598</t>
  </si>
  <si>
    <t>$PM$1:$PM$6</t>
  </si>
  <si>
    <t>Imported Module'!Sample_599</t>
  </si>
  <si>
    <t>$PL$1:$PL$5</t>
  </si>
  <si>
    <t>Imported Module'!Sample_6</t>
  </si>
  <si>
    <t>Imported Module'!Sample_60</t>
  </si>
  <si>
    <t>Imported Module'!Sample_600</t>
  </si>
  <si>
    <t>$PK$1:$PK$122</t>
  </si>
  <si>
    <t>Imported Module'!Sample_601</t>
  </si>
  <si>
    <t>$PJ$1:$PJ$167</t>
  </si>
  <si>
    <t>Imported Module'!Sample_602</t>
  </si>
  <si>
    <t>$PI$1:$PI$373</t>
  </si>
  <si>
    <t>Imported Module'!Sample_603</t>
  </si>
  <si>
    <t>$PH$1:$PH$102</t>
  </si>
  <si>
    <t>Imported Module'!Sample_604</t>
  </si>
  <si>
    <t>$PG$1:$PG$134</t>
  </si>
  <si>
    <t>Imported Module'!Sample_605</t>
  </si>
  <si>
    <t>$PF$1:$PF$278</t>
  </si>
  <si>
    <t>Imported Module'!Sample_606</t>
  </si>
  <si>
    <t>$PE$1:$PE$106</t>
  </si>
  <si>
    <t>Imported Module'!Sample_607</t>
  </si>
  <si>
    <t>$PD$1:$PD$9</t>
  </si>
  <si>
    <t>Imported Module'!Sample_608</t>
  </si>
  <si>
    <t>$PC$1:$PC$9</t>
  </si>
  <si>
    <t>Imported Module'!Sample_609</t>
  </si>
  <si>
    <t>$PB$1:$PB$9</t>
  </si>
  <si>
    <t>Imported Module'!Sample_61</t>
  </si>
  <si>
    <t>Imported Module'!Sample_610</t>
  </si>
  <si>
    <t>$PA$1:$PA$9</t>
  </si>
  <si>
    <t>Imported Module'!Sample_611</t>
  </si>
  <si>
    <t>$OZ$1:$OZ$9</t>
  </si>
  <si>
    <t>Imported Module'!Sample_612</t>
  </si>
  <si>
    <t>$OY$1:$OY$9</t>
  </si>
  <si>
    <t>Imported Module'!Sample_613</t>
  </si>
  <si>
    <t>$OX$1:$OX$9</t>
  </si>
  <si>
    <t>Imported Module'!Sample_614</t>
  </si>
  <si>
    <t>$OW$1:$OW$9</t>
  </si>
  <si>
    <t>Imported Module'!Sample_615</t>
  </si>
  <si>
    <t>$OV$1:$OV$9</t>
  </si>
  <si>
    <t>Imported Module'!Sample_616</t>
  </si>
  <si>
    <t>$OU$1:$OU$9</t>
  </si>
  <si>
    <t>Imported Module'!Sample_617</t>
  </si>
  <si>
    <t>$OT$1:$OT$9</t>
  </si>
  <si>
    <t>Imported Module'!Sample_618</t>
  </si>
  <si>
    <t>$OS$1:$OS$9</t>
  </si>
  <si>
    <t>Imported Module'!Sample_619</t>
  </si>
  <si>
    <t>$OR$1:$OR$9</t>
  </si>
  <si>
    <t>Imported Module'!Sample_62</t>
  </si>
  <si>
    <t>Imported Module'!Sample_620</t>
  </si>
  <si>
    <t>$OQ$1:$OQ$9</t>
  </si>
  <si>
    <t>Imported Module'!Sample_621</t>
  </si>
  <si>
    <t>$OP$1:$OP$9</t>
  </si>
  <si>
    <t>Imported Module'!Sample_622</t>
  </si>
  <si>
    <t>$OO$1:$OO$9</t>
  </si>
  <si>
    <t>Imported Module'!Sample_623</t>
  </si>
  <si>
    <t>$ON$1:$ON$9</t>
  </si>
  <si>
    <t>Imported Module'!Sample_624</t>
  </si>
  <si>
    <t>$OM$1:$OM$233</t>
  </si>
  <si>
    <t>Imported Module'!Sample_625</t>
  </si>
  <si>
    <t>$OL$1:$OL$9</t>
  </si>
  <si>
    <t>Imported Module'!Sample_626</t>
  </si>
  <si>
    <t>$OK$1:$OK$9</t>
  </si>
  <si>
    <t>Imported Module'!Sample_627</t>
  </si>
  <si>
    <t>$OJ$1:$OJ$9</t>
  </si>
  <si>
    <t>Imported Module'!Sample_628</t>
  </si>
  <si>
    <t>$OI$1:$OI$33</t>
  </si>
  <si>
    <t>Imported Module'!Sample_629</t>
  </si>
  <si>
    <t>$OH$1:$OH$90</t>
  </si>
  <si>
    <t>Imported Module'!Sample_63</t>
  </si>
  <si>
    <t>Imported Module'!Sample_630</t>
  </si>
  <si>
    <t>$OG$1:$OG$83</t>
  </si>
  <si>
    <t>Imported Module'!Sample_631</t>
  </si>
  <si>
    <t>$OF$1:$OF$75</t>
  </si>
  <si>
    <t>Imported Module'!Sample_632</t>
  </si>
  <si>
    <t>$OE$1:$OE$87</t>
  </si>
  <si>
    <t>Imported Module'!Sample_633</t>
  </si>
  <si>
    <t>$OE$1:$OE$543</t>
  </si>
  <si>
    <t>Imported Module'!Sample_634</t>
  </si>
  <si>
    <t>$OD$1:$OD$239</t>
  </si>
  <si>
    <t>Imported Module'!Sample_635</t>
  </si>
  <si>
    <t>$OC$1:$OC$44</t>
  </si>
  <si>
    <t>Imported Module'!Sample_636</t>
  </si>
  <si>
    <t>$OB$1:$OB$305</t>
  </si>
  <si>
    <t>Imported Module'!Sample_637</t>
  </si>
  <si>
    <t>$OA$1:$OA$56</t>
  </si>
  <si>
    <t>Imported Module'!Sample_638</t>
  </si>
  <si>
    <t>$NZ$1:$NZ$218</t>
  </si>
  <si>
    <t>Imported Module'!Sample_639</t>
  </si>
  <si>
    <t>$NY$1:$NY$145</t>
  </si>
  <si>
    <t>Imported Module'!Sample_64</t>
  </si>
  <si>
    <t>Imported Module'!Sample_640</t>
  </si>
  <si>
    <t>$NX$1:$NX$151</t>
  </si>
  <si>
    <t>Imported Module'!Sample_641</t>
  </si>
  <si>
    <t>$NW$1:$NW$260</t>
  </si>
  <si>
    <t>Imported Module'!Sample_642</t>
  </si>
  <si>
    <t>$NV$1:$NV$448</t>
  </si>
  <si>
    <t>Imported Module'!Sample_643</t>
  </si>
  <si>
    <t>$NU$1:$NU$181</t>
  </si>
  <si>
    <t>Imported Module'!Sample_644</t>
  </si>
  <si>
    <t>$NT$1:$NT$296</t>
  </si>
  <si>
    <t>Imported Module'!Sample_645</t>
  </si>
  <si>
    <t>$NS$1:$NS$361</t>
  </si>
  <si>
    <t>Imported Module'!Sample_646</t>
  </si>
  <si>
    <t>$NR$1:$NR$10</t>
  </si>
  <si>
    <t>Imported Module'!Sample_647</t>
  </si>
  <si>
    <t>$NQ$1:$NQ$363</t>
  </si>
  <si>
    <t>Imported Module'!Sample_648</t>
  </si>
  <si>
    <t>$NP$1:$NP$6</t>
  </si>
  <si>
    <t>Imported Module'!Sample_649</t>
  </si>
  <si>
    <t>$NO$1:$NO$5</t>
  </si>
  <si>
    <t>Imported Module'!Sample_65</t>
  </si>
  <si>
    <t>Imported Module'!Sample_650</t>
  </si>
  <si>
    <t>$NN$1:$NN$122</t>
  </si>
  <si>
    <t>Imported Module'!Sample_651</t>
  </si>
  <si>
    <t>$NM$1:$NM$167</t>
  </si>
  <si>
    <t>Imported Module'!Sample_652</t>
  </si>
  <si>
    <t>$NL$1:$NL$373</t>
  </si>
  <si>
    <t>Imported Module'!Sample_653</t>
  </si>
  <si>
    <t>$NK$1:$NK$102</t>
  </si>
  <si>
    <t>Imported Module'!Sample_654</t>
  </si>
  <si>
    <t>$NJ$1:$NJ$134</t>
  </si>
  <si>
    <t>Imported Module'!Sample_655</t>
  </si>
  <si>
    <t>$NI$1:$NI$278</t>
  </si>
  <si>
    <t>Imported Module'!Sample_656</t>
  </si>
  <si>
    <t>$NH$1:$NH$106</t>
  </si>
  <si>
    <t>Imported Module'!Sample_657</t>
  </si>
  <si>
    <t>$NG$1:$NG$9</t>
  </si>
  <si>
    <t>Imported Module'!Sample_658</t>
  </si>
  <si>
    <t>$NF$1:$NF$9</t>
  </si>
  <si>
    <t>Imported Module'!Sample_659</t>
  </si>
  <si>
    <t>$NE$1:$NE$9</t>
  </si>
  <si>
    <t>Imported Module'!Sample_66</t>
  </si>
  <si>
    <t>Imported Module'!Sample_660</t>
  </si>
  <si>
    <t>$ND$1:$ND$9</t>
  </si>
  <si>
    <t>Imported Module'!Sample_661</t>
  </si>
  <si>
    <t>$NC$1:$NC$9</t>
  </si>
  <si>
    <t>Imported Module'!Sample_662</t>
  </si>
  <si>
    <t>$NB$1:$NB$9</t>
  </si>
  <si>
    <t>Imported Module'!Sample_663</t>
  </si>
  <si>
    <t>$NA$1:$NA$9</t>
  </si>
  <si>
    <t>Imported Module'!Sample_664</t>
  </si>
  <si>
    <t>$MZ$1:$MZ$9</t>
  </si>
  <si>
    <t>Imported Module'!Sample_665</t>
  </si>
  <si>
    <t>$MY$1:$MY$9</t>
  </si>
  <si>
    <t>Imported Module'!Sample_666</t>
  </si>
  <si>
    <t>$MX$1:$MX$9</t>
  </si>
  <si>
    <t>Imported Module'!Sample_667</t>
  </si>
  <si>
    <t>$MW$1:$MW$9</t>
  </si>
  <si>
    <t>Imported Module'!Sample_668</t>
  </si>
  <si>
    <t>$MV$1:$MV$9</t>
  </si>
  <si>
    <t>Imported Module'!Sample_669</t>
  </si>
  <si>
    <t>$MU$1:$MU$9</t>
  </si>
  <si>
    <t>Imported Module'!Sample_67</t>
  </si>
  <si>
    <t>Imported Module'!Sample_670</t>
  </si>
  <si>
    <t>$MT$1:$MT$9</t>
  </si>
  <si>
    <t>Imported Module'!Sample_671</t>
  </si>
  <si>
    <t>$MS$1:$MS$9</t>
  </si>
  <si>
    <t>Imported Module'!Sample_672</t>
  </si>
  <si>
    <t>$MR$1:$MR$9</t>
  </si>
  <si>
    <t>Imported Module'!Sample_673</t>
  </si>
  <si>
    <t>$MQ$1:$MQ$9</t>
  </si>
  <si>
    <t>Imported Module'!Sample_674</t>
  </si>
  <si>
    <t>$MP$1:$MP$233</t>
  </si>
  <si>
    <t>Imported Module'!Sample_675</t>
  </si>
  <si>
    <t>$MO$1:$MO$9</t>
  </si>
  <si>
    <t>Imported Module'!Sample_676</t>
  </si>
  <si>
    <t>$MN$1:$MN$9</t>
  </si>
  <si>
    <t>Imported Module'!Sample_677</t>
  </si>
  <si>
    <t>$MM$1:$MM$9</t>
  </si>
  <si>
    <t>Imported Module'!Sample_678</t>
  </si>
  <si>
    <t>$ML$1:$ML$33</t>
  </si>
  <si>
    <t>Imported Module'!Sample_679</t>
  </si>
  <si>
    <t>$MK$1:$MK$90</t>
  </si>
  <si>
    <t>Imported Module'!Sample_68</t>
  </si>
  <si>
    <t>Imported Module'!Sample_680</t>
  </si>
  <si>
    <t>$MJ$1:$MJ$83</t>
  </si>
  <si>
    <t>Imported Module'!Sample_681</t>
  </si>
  <si>
    <t>$MI$1:$MI$75</t>
  </si>
  <si>
    <t>Imported Module'!Sample_682</t>
  </si>
  <si>
    <t>$MH$1:$MH$87</t>
  </si>
  <si>
    <t>Imported Module'!Sample_683</t>
  </si>
  <si>
    <t>$MH$1:$MH$543</t>
  </si>
  <si>
    <t>Imported Module'!Sample_684</t>
  </si>
  <si>
    <t>$MG$1:$MG$239</t>
  </si>
  <si>
    <t>Imported Module'!Sample_685</t>
  </si>
  <si>
    <t>$MF$1:$MF$44</t>
  </si>
  <si>
    <t>Imported Module'!Sample_686</t>
  </si>
  <si>
    <t>$ME$1:$ME$305</t>
  </si>
  <si>
    <t>Imported Module'!Sample_687</t>
  </si>
  <si>
    <t>$MD$1:$MD$56</t>
  </si>
  <si>
    <t>Imported Module'!Sample_688</t>
  </si>
  <si>
    <t>$MC$1:$MC$218</t>
  </si>
  <si>
    <t>Imported Module'!Sample_689</t>
  </si>
  <si>
    <t>$MB$1:$MB$145</t>
  </si>
  <si>
    <t>Imported Module'!Sample_69</t>
  </si>
  <si>
    <t>Imported Module'!Sample_690</t>
  </si>
  <si>
    <t>$MA$1:$MA$151</t>
  </si>
  <si>
    <t>Imported Module'!Sample_691</t>
  </si>
  <si>
    <t>$LZ$1:$LZ$260</t>
  </si>
  <si>
    <t>Imported Module'!Sample_692</t>
  </si>
  <si>
    <t>$LY$1:$LY$448</t>
  </si>
  <si>
    <t>Imported Module'!Sample_693</t>
  </si>
  <si>
    <t>$LX$1:$LX$181</t>
  </si>
  <si>
    <t>Imported Module'!Sample_694</t>
  </si>
  <si>
    <t>$LW$1:$LW$296</t>
  </si>
  <si>
    <t>Imported Module'!Sample_695</t>
  </si>
  <si>
    <t>$LV$1:$LV$361</t>
  </si>
  <si>
    <t>Imported Module'!Sample_696</t>
  </si>
  <si>
    <t>$LU$1:$LU$10</t>
  </si>
  <si>
    <t>Imported Module'!Sample_697</t>
  </si>
  <si>
    <t>$LT$1:$LT$363</t>
  </si>
  <si>
    <t>Imported Module'!Sample_698</t>
  </si>
  <si>
    <t>$LS$1:$LS$6</t>
  </si>
  <si>
    <t>Imported Module'!Sample_699</t>
  </si>
  <si>
    <t>$LR$1:$LR$5</t>
  </si>
  <si>
    <t>Imported Module'!Sample_7</t>
  </si>
  <si>
    <t>Imported Module'!Sample_70</t>
  </si>
  <si>
    <t>Imported Module'!Sample_700</t>
  </si>
  <si>
    <t>$LQ$1:$LQ$122</t>
  </si>
  <si>
    <t>Imported Module'!Sample_701</t>
  </si>
  <si>
    <t>$LP$1:$LP$167</t>
  </si>
  <si>
    <t>Imported Module'!Sample_702</t>
  </si>
  <si>
    <t>$LO$1:$LO$373</t>
  </si>
  <si>
    <t>Imported Module'!Sample_703</t>
  </si>
  <si>
    <t>$LN$1:$LN$102</t>
  </si>
  <si>
    <t>Imported Module'!Sample_704</t>
  </si>
  <si>
    <t>$LM$1:$LM$134</t>
  </si>
  <si>
    <t>Imported Module'!Sample_705</t>
  </si>
  <si>
    <t>$LL$1:$LL$278</t>
  </si>
  <si>
    <t>Imported Module'!Sample_706</t>
  </si>
  <si>
    <t>$LK$1:$LK$106</t>
  </si>
  <si>
    <t>Imported Module'!Sample_707</t>
  </si>
  <si>
    <t>$LJ$1:$LJ$9</t>
  </si>
  <si>
    <t>Imported Module'!Sample_708</t>
  </si>
  <si>
    <t>$LI$1:$LI$9</t>
  </si>
  <si>
    <t>Imported Module'!Sample_709</t>
  </si>
  <si>
    <t>$LH$1:$LH$9</t>
  </si>
  <si>
    <t>Imported Module'!Sample_71</t>
  </si>
  <si>
    <t>Imported Module'!Sample_710</t>
  </si>
  <si>
    <t>$LG$1:$LG$9</t>
  </si>
  <si>
    <t>Imported Module'!Sample_711</t>
  </si>
  <si>
    <t>$LF$1:$LF$9</t>
  </si>
  <si>
    <t>Imported Module'!Sample_712</t>
  </si>
  <si>
    <t>$LE$1:$LE$9</t>
  </si>
  <si>
    <t>Imported Module'!Sample_713</t>
  </si>
  <si>
    <t>$LD$1:$LD$9</t>
  </si>
  <si>
    <t>Imported Module'!Sample_714</t>
  </si>
  <si>
    <t>$LC$1:$LC$9</t>
  </si>
  <si>
    <t>Imported Module'!Sample_715</t>
  </si>
  <si>
    <t>$LB$1:$LB$9</t>
  </si>
  <si>
    <t>Imported Module'!Sample_716</t>
  </si>
  <si>
    <t>$LA$1:$LA$9</t>
  </si>
  <si>
    <t>Imported Module'!Sample_717</t>
  </si>
  <si>
    <t>$KZ$1:$KZ$9</t>
  </si>
  <si>
    <t>Imported Module'!Sample_718</t>
  </si>
  <si>
    <t>$KY$1:$KY$9</t>
  </si>
  <si>
    <t>Imported Module'!Sample_719</t>
  </si>
  <si>
    <t>$KX$1:$KX$9</t>
  </si>
  <si>
    <t>Imported Module'!Sample_72</t>
  </si>
  <si>
    <t>Imported Module'!Sample_720</t>
  </si>
  <si>
    <t>$KW$1:$KW$9</t>
  </si>
  <si>
    <t>Imported Module'!Sample_721</t>
  </si>
  <si>
    <t>$KV$1:$KV$9</t>
  </si>
  <si>
    <t>Imported Module'!Sample_722</t>
  </si>
  <si>
    <t>$KU$1:$KU$9</t>
  </si>
  <si>
    <t>Imported Module'!Sample_723</t>
  </si>
  <si>
    <t>$KT$1:$KT$9</t>
  </si>
  <si>
    <t>Imported Module'!Sample_724</t>
  </si>
  <si>
    <t>$KS$1:$KS$233</t>
  </si>
  <si>
    <t>Imported Module'!Sample_725</t>
  </si>
  <si>
    <t>$KR$1:$KR$9</t>
  </si>
  <si>
    <t>Imported Module'!Sample_726</t>
  </si>
  <si>
    <t>$KQ$1:$KQ$9</t>
  </si>
  <si>
    <t>Imported Module'!Sample_727</t>
  </si>
  <si>
    <t>$KP$1:$KP$9</t>
  </si>
  <si>
    <t>Imported Module'!Sample_728</t>
  </si>
  <si>
    <t>$KO$1:$KO$33</t>
  </si>
  <si>
    <t>Imported Module'!Sample_729</t>
  </si>
  <si>
    <t>$KN$1:$KN$90</t>
  </si>
  <si>
    <t>Imported Module'!Sample_73</t>
  </si>
  <si>
    <t>Imported Module'!Sample_730</t>
  </si>
  <si>
    <t>$KM$1:$KM$83</t>
  </si>
  <si>
    <t>Imported Module'!Sample_731</t>
  </si>
  <si>
    <t>$KL$1:$KL$75</t>
  </si>
  <si>
    <t>Imported Module'!Sample_732</t>
  </si>
  <si>
    <t>$KK$1:$KK$87</t>
  </si>
  <si>
    <t>Imported Module'!Sample_733</t>
  </si>
  <si>
    <t>$KK$1:$KK$543</t>
  </si>
  <si>
    <t>Imported Module'!Sample_734</t>
  </si>
  <si>
    <t>$KJ$1:$KJ$239</t>
  </si>
  <si>
    <t>Imported Module'!Sample_735</t>
  </si>
  <si>
    <t>$KI$1:$KI$44</t>
  </si>
  <si>
    <t>Imported Module'!Sample_736</t>
  </si>
  <si>
    <t>$KH$1:$KH$305</t>
  </si>
  <si>
    <t>Imported Module'!Sample_737</t>
  </si>
  <si>
    <t>$KG$1:$KG$56</t>
  </si>
  <si>
    <t>Imported Module'!Sample_738</t>
  </si>
  <si>
    <t>$KF$1:$KF$218</t>
  </si>
  <si>
    <t>Imported Module'!Sample_739</t>
  </si>
  <si>
    <t>$KE$1:$KE$145</t>
  </si>
  <si>
    <t>Imported Module'!Sample_74</t>
  </si>
  <si>
    <t>Imported Module'!Sample_740</t>
  </si>
  <si>
    <t>$KD$1:$KD$151</t>
  </si>
  <si>
    <t>Imported Module'!Sample_741</t>
  </si>
  <si>
    <t>$KC$1:$KC$260</t>
  </si>
  <si>
    <t>Imported Module'!Sample_742</t>
  </si>
  <si>
    <t>$KB$1:$KB$448</t>
  </si>
  <si>
    <t>Imported Module'!Sample_743</t>
  </si>
  <si>
    <t>$KA$1:$KA$181</t>
  </si>
  <si>
    <t>Imported Module'!Sample_744</t>
  </si>
  <si>
    <t>$JZ$1:$JZ$296</t>
  </si>
  <si>
    <t>Imported Module'!Sample_745</t>
  </si>
  <si>
    <t>$JY$1:$JY$361</t>
  </si>
  <si>
    <t>Imported Module'!Sample_746</t>
  </si>
  <si>
    <t>$JX$1:$JX$10</t>
  </si>
  <si>
    <t>Imported Module'!Sample_747</t>
  </si>
  <si>
    <t>$JW$1:$JW$363</t>
  </si>
  <si>
    <t>Imported Module'!Sample_748</t>
  </si>
  <si>
    <t>$JV$1:$JV$6</t>
  </si>
  <si>
    <t>Imported Module'!Sample_749</t>
  </si>
  <si>
    <t>$JU$1:$JU$5</t>
  </si>
  <si>
    <t>Imported Module'!Sample_75</t>
  </si>
  <si>
    <t>Imported Module'!Sample_750</t>
  </si>
  <si>
    <t>$JT$1:$JT$122</t>
  </si>
  <si>
    <t>Imported Module'!Sample_751</t>
  </si>
  <si>
    <t>$JS$1:$JS$167</t>
  </si>
  <si>
    <t>Imported Module'!Sample_752</t>
  </si>
  <si>
    <t>$JR$1:$JR$373</t>
  </si>
  <si>
    <t>Imported Module'!Sample_753</t>
  </si>
  <si>
    <t>$JQ$1:$JQ$102</t>
  </si>
  <si>
    <t>Imported Module'!Sample_754</t>
  </si>
  <si>
    <t>$JP$1:$JP$134</t>
  </si>
  <si>
    <t>Imported Module'!Sample_755</t>
  </si>
  <si>
    <t>$JO$1:$JO$278</t>
  </si>
  <si>
    <t>Imported Module'!Sample_756</t>
  </si>
  <si>
    <t>$JN$1:$JN$106</t>
  </si>
  <si>
    <t>Imported Module'!Sample_757</t>
  </si>
  <si>
    <t>$JM$1:$JM$9</t>
  </si>
  <si>
    <t>Imported Module'!Sample_758</t>
  </si>
  <si>
    <t>$JL$1:$JL$9</t>
  </si>
  <si>
    <t>Imported Module'!Sample_759</t>
  </si>
  <si>
    <t>$JK$1:$JK$9</t>
  </si>
  <si>
    <t>Imported Module'!Sample_76</t>
  </si>
  <si>
    <t>Imported Module'!Sample_760</t>
  </si>
  <si>
    <t>$JJ$1:$JJ$9</t>
  </si>
  <si>
    <t>Imported Module'!Sample_761</t>
  </si>
  <si>
    <t>$JI$1:$JI$9</t>
  </si>
  <si>
    <t>Imported Module'!Sample_762</t>
  </si>
  <si>
    <t>$JH$1:$JH$9</t>
  </si>
  <si>
    <t>Imported Module'!Sample_763</t>
  </si>
  <si>
    <t>$JG$1:$JG$9</t>
  </si>
  <si>
    <t>Imported Module'!Sample_764</t>
  </si>
  <si>
    <t>$JF$1:$JF$9</t>
  </si>
  <si>
    <t>Imported Module'!Sample_765</t>
  </si>
  <si>
    <t>$JE$1:$JE$9</t>
  </si>
  <si>
    <t>Imported Module'!Sample_766</t>
  </si>
  <si>
    <t>$JD$1:$JD$9</t>
  </si>
  <si>
    <t>Imported Module'!Sample_767</t>
  </si>
  <si>
    <t>$JC$1:$JC$9</t>
  </si>
  <si>
    <t>Imported Module'!Sample_768</t>
  </si>
  <si>
    <t>$JB$1:$JB$9</t>
  </si>
  <si>
    <t>Imported Module'!Sample_769</t>
  </si>
  <si>
    <t>$JA$1:$JA$9</t>
  </si>
  <si>
    <t>Imported Module'!Sample_77</t>
  </si>
  <si>
    <t>Imported Module'!Sample_770</t>
  </si>
  <si>
    <t>$IZ$1:$IZ$9</t>
  </si>
  <si>
    <t>Imported Module'!Sample_771</t>
  </si>
  <si>
    <t>$IY$1:$IY$9</t>
  </si>
  <si>
    <t>Imported Module'!Sample_772</t>
  </si>
  <si>
    <t>$IX$1:$IX$9</t>
  </si>
  <si>
    <t>Imported Module'!Sample_773</t>
  </si>
  <si>
    <t>$IW$1:$IW$9</t>
  </si>
  <si>
    <t>Imported Module'!Sample_774</t>
  </si>
  <si>
    <t>$IV$1:$IV$233</t>
  </si>
  <si>
    <t>Imported Module'!Sample_775</t>
  </si>
  <si>
    <t>$IU$1:$IU$9</t>
  </si>
  <si>
    <t>Imported Module'!Sample_776</t>
  </si>
  <si>
    <t>$IT$1:$IT$9</t>
  </si>
  <si>
    <t>Imported Module'!Sample_777</t>
  </si>
  <si>
    <t>$IS$1:$IS$9</t>
  </si>
  <si>
    <t>Imported Module'!Sample_778</t>
  </si>
  <si>
    <t>$IR$1:$IR$33</t>
  </si>
  <si>
    <t>Imported Module'!Sample_779</t>
  </si>
  <si>
    <t>$IQ$1:$IQ$90</t>
  </si>
  <si>
    <t>Imported Module'!Sample_78</t>
  </si>
  <si>
    <t>Imported Module'!Sample_780</t>
  </si>
  <si>
    <t>$IP$1:$IP$83</t>
  </si>
  <si>
    <t>Imported Module'!Sample_781</t>
  </si>
  <si>
    <t>$IO$1:$IO$75</t>
  </si>
  <si>
    <t>Imported Module'!Sample_782</t>
  </si>
  <si>
    <t>$IN$1:$IN$87</t>
  </si>
  <si>
    <t>Imported Module'!Sample_783</t>
  </si>
  <si>
    <t>$IN$1:$IN$543</t>
  </si>
  <si>
    <t>Imported Module'!Sample_784</t>
  </si>
  <si>
    <t>$IM$1:$IM$239</t>
  </si>
  <si>
    <t>Imported Module'!Sample_785</t>
  </si>
  <si>
    <t>$IL$1:$IL$44</t>
  </si>
  <si>
    <t>Imported Module'!Sample_786</t>
  </si>
  <si>
    <t>$IK$1:$IK$305</t>
  </si>
  <si>
    <t>Imported Module'!Sample_787</t>
  </si>
  <si>
    <t>$IJ$1:$IJ$56</t>
  </si>
  <si>
    <t>Imported Module'!Sample_788</t>
  </si>
  <si>
    <t>$II$1:$II$218</t>
  </si>
  <si>
    <t>Imported Module'!Sample_789</t>
  </si>
  <si>
    <t>$IH$1:$IH$145</t>
  </si>
  <si>
    <t>Imported Module'!Sample_79</t>
  </si>
  <si>
    <t>Imported Module'!Sample_790</t>
  </si>
  <si>
    <t>$IG$1:$IG$151</t>
  </si>
  <si>
    <t>Imported Module'!Sample_791</t>
  </si>
  <si>
    <t>$IF$1:$IF$260</t>
  </si>
  <si>
    <t>Imported Module'!Sample_792</t>
  </si>
  <si>
    <t>$IE$1:$IE$448</t>
  </si>
  <si>
    <t>Imported Module'!Sample_793</t>
  </si>
  <si>
    <t>$ID$1:$ID$181</t>
  </si>
  <si>
    <t>Imported Module'!Sample_794</t>
  </si>
  <si>
    <t>$IC$1:$IC$296</t>
  </si>
  <si>
    <t>Imported Module'!Sample_795</t>
  </si>
  <si>
    <t>$IB$1:$IB$361</t>
  </si>
  <si>
    <t>Imported Module'!Sample_796</t>
  </si>
  <si>
    <t>$IA$1:$IA$10</t>
  </si>
  <si>
    <t>Imported Module'!Sample_797</t>
  </si>
  <si>
    <t>$HZ$1:$HZ$363</t>
  </si>
  <si>
    <t>Imported Module'!Sample_798</t>
  </si>
  <si>
    <t>$HY$1:$HY$6</t>
  </si>
  <si>
    <t>Imported Module'!Sample_799</t>
  </si>
  <si>
    <t>$HX$1:$HX$5</t>
  </si>
  <si>
    <t>Imported Module'!Sample_80</t>
  </si>
  <si>
    <t>Imported Module'!Sample_800</t>
  </si>
  <si>
    <t>$HW$1:$HW$122</t>
  </si>
  <si>
    <t>Imported Module'!Sample_801</t>
  </si>
  <si>
    <t>$HV$1:$HV$167</t>
  </si>
  <si>
    <t>Imported Module'!Sample_802</t>
  </si>
  <si>
    <t>$HU$1:$HU$373</t>
  </si>
  <si>
    <t>Imported Module'!Sample_803</t>
  </si>
  <si>
    <t>$HT$1:$HT$102</t>
  </si>
  <si>
    <t>Imported Module'!Sample_804</t>
  </si>
  <si>
    <t>$HS$1:$HS$134</t>
  </si>
  <si>
    <t>Imported Module'!Sample_805</t>
  </si>
  <si>
    <t>$HR$1:$HR$278</t>
  </si>
  <si>
    <t>Imported Module'!Sample_806</t>
  </si>
  <si>
    <t>$HQ$1:$HQ$106</t>
  </si>
  <si>
    <t>Imported Module'!Sample_807</t>
  </si>
  <si>
    <t>$HP$1:$HP$9</t>
  </si>
  <si>
    <t>Imported Module'!Sample_808</t>
  </si>
  <si>
    <t>$HO$1:$HO$9</t>
  </si>
  <si>
    <t>Imported Module'!Sample_809</t>
  </si>
  <si>
    <t>$HN$1:$HN$9</t>
  </si>
  <si>
    <t>Imported Module'!Sample_81</t>
  </si>
  <si>
    <t>Imported Module'!Sample_810</t>
  </si>
  <si>
    <t>$HM$1:$HM$9</t>
  </si>
  <si>
    <t>Imported Module'!Sample_811</t>
  </si>
  <si>
    <t>$HL$1:$HL$9</t>
  </si>
  <si>
    <t>Imported Module'!Sample_812</t>
  </si>
  <si>
    <t>$HK$1:$HK$9</t>
  </si>
  <si>
    <t>Imported Module'!Sample_813</t>
  </si>
  <si>
    <t>$HJ$1:$HJ$9</t>
  </si>
  <si>
    <t>Imported Module'!Sample_814</t>
  </si>
  <si>
    <t>$HI$1:$HI$9</t>
  </si>
  <si>
    <t>Imported Module'!Sample_815</t>
  </si>
  <si>
    <t>$HH$1:$HH$9</t>
  </si>
  <si>
    <t>Imported Module'!Sample_816</t>
  </si>
  <si>
    <t>$HG$1:$HG$9</t>
  </si>
  <si>
    <t>Imported Module'!Sample_817</t>
  </si>
  <si>
    <t>$HF$1:$HF$9</t>
  </si>
  <si>
    <t>Imported Module'!Sample_818</t>
  </si>
  <si>
    <t>$HE$1:$HE$9</t>
  </si>
  <si>
    <t>Imported Module'!Sample_819</t>
  </si>
  <si>
    <t>$HD$1:$HD$9</t>
  </si>
  <si>
    <t>Imported Module'!Sample_82</t>
  </si>
  <si>
    <t>Imported Module'!Sample_820</t>
  </si>
  <si>
    <t>$HC$1:$HC$9</t>
  </si>
  <si>
    <t>Imported Module'!Sample_821</t>
  </si>
  <si>
    <t>$HB$1:$HB$9</t>
  </si>
  <si>
    <t>Imported Module'!Sample_822</t>
  </si>
  <si>
    <t>$HA$1:$HA$9</t>
  </si>
  <si>
    <t>Imported Module'!Sample_823</t>
  </si>
  <si>
    <t>$GZ$1:$GZ$9</t>
  </si>
  <si>
    <t>Imported Module'!Sample_824</t>
  </si>
  <si>
    <t>$GY$1:$GY$233</t>
  </si>
  <si>
    <t>Imported Module'!Sample_825</t>
  </si>
  <si>
    <t>$GX$1:$GX$9</t>
  </si>
  <si>
    <t>Imported Module'!Sample_826</t>
  </si>
  <si>
    <t>$GW$1:$GW$9</t>
  </si>
  <si>
    <t>Imported Module'!Sample_827</t>
  </si>
  <si>
    <t>$GV$1:$GV$9</t>
  </si>
  <si>
    <t>Imported Module'!Sample_828</t>
  </si>
  <si>
    <t>$GU$1:$GU$33</t>
  </si>
  <si>
    <t>Imported Module'!Sample_829</t>
  </si>
  <si>
    <t>$GT$1:$GT$90</t>
  </si>
  <si>
    <t>Imported Module'!Sample_83</t>
  </si>
  <si>
    <t>Imported Module'!Sample_830</t>
  </si>
  <si>
    <t>$GS$1:$GS$83</t>
  </si>
  <si>
    <t>Imported Module'!Sample_831</t>
  </si>
  <si>
    <t>$GR$1:$GR$75</t>
  </si>
  <si>
    <t>Imported Module'!Sample_832</t>
  </si>
  <si>
    <t>$GQ$1:$GQ$87</t>
  </si>
  <si>
    <t>Imported Module'!Sample_833</t>
  </si>
  <si>
    <t>$GQ$1:$GQ$543</t>
  </si>
  <si>
    <t>Imported Module'!Sample_834</t>
  </si>
  <si>
    <t>$GP$1:$GP$239</t>
  </si>
  <si>
    <t>Imported Module'!Sample_835</t>
  </si>
  <si>
    <t>$GO$1:$GO$44</t>
  </si>
  <si>
    <t>Imported Module'!Sample_836</t>
  </si>
  <si>
    <t>$GN$1:$GN$305</t>
  </si>
  <si>
    <t>Imported Module'!Sample_837</t>
  </si>
  <si>
    <t>$GM$1:$GM$56</t>
  </si>
  <si>
    <t>Imported Module'!Sample_838</t>
  </si>
  <si>
    <t>$GL$1:$GL$218</t>
  </si>
  <si>
    <t>Imported Module'!Sample_839</t>
  </si>
  <si>
    <t>$GK$1:$GK$145</t>
  </si>
  <si>
    <t>Imported Module'!Sample_84</t>
  </si>
  <si>
    <t>Imported Module'!Sample_840</t>
  </si>
  <si>
    <t>$GJ$1:$GJ$151</t>
  </si>
  <si>
    <t>Imported Module'!Sample_841</t>
  </si>
  <si>
    <t>$GI$1:$GI$260</t>
  </si>
  <si>
    <t>Imported Module'!Sample_842</t>
  </si>
  <si>
    <t>$GH$1:$GH$448</t>
  </si>
  <si>
    <t>Imported Module'!Sample_843</t>
  </si>
  <si>
    <t>$GG$1:$GG$181</t>
  </si>
  <si>
    <t>Imported Module'!Sample_844</t>
  </si>
  <si>
    <t>$GF$1:$GF$296</t>
  </si>
  <si>
    <t>Imported Module'!Sample_845</t>
  </si>
  <si>
    <t>$GE$1:$GE$361</t>
  </si>
  <si>
    <t>Imported Module'!Sample_846</t>
  </si>
  <si>
    <t>$GD$1:$GD$10</t>
  </si>
  <si>
    <t>Imported Module'!Sample_847</t>
  </si>
  <si>
    <t>$GC$1:$GC$363</t>
  </si>
  <si>
    <t>Imported Module'!Sample_848</t>
  </si>
  <si>
    <t>$GB$1:$GB$6</t>
  </si>
  <si>
    <t>Imported Module'!Sample_849</t>
  </si>
  <si>
    <t>$GA$1:$GA$5</t>
  </si>
  <si>
    <t>Imported Module'!Sample_85</t>
  </si>
  <si>
    <t>Imported Module'!Sample_850</t>
  </si>
  <si>
    <t>$FZ$1:$FZ$122</t>
  </si>
  <si>
    <t>Imported Module'!Sample_851</t>
  </si>
  <si>
    <t>$FY$1:$FY$167</t>
  </si>
  <si>
    <t>Imported Module'!Sample_852</t>
  </si>
  <si>
    <t>$FX$1:$FX$373</t>
  </si>
  <si>
    <t>Imported Module'!Sample_853</t>
  </si>
  <si>
    <t>$FW$1:$FW$102</t>
  </si>
  <si>
    <t>Imported Module'!Sample_854</t>
  </si>
  <si>
    <t>$FV$1:$FV$134</t>
  </si>
  <si>
    <t>Imported Module'!Sample_855</t>
  </si>
  <si>
    <t>$FU$1:$FU$278</t>
  </si>
  <si>
    <t>Imported Module'!Sample_856</t>
  </si>
  <si>
    <t>$FT$1:$FT$106</t>
  </si>
  <si>
    <t>Imported Module'!Sample_857</t>
  </si>
  <si>
    <t>$FS$1:$FS$9</t>
  </si>
  <si>
    <t>Imported Module'!Sample_858</t>
  </si>
  <si>
    <t>$FR$1:$FR$9</t>
  </si>
  <si>
    <t>Imported Module'!Sample_859</t>
  </si>
  <si>
    <t>$FQ$1:$FQ$9</t>
  </si>
  <si>
    <t>Imported Module'!Sample_86</t>
  </si>
  <si>
    <t>Imported Module'!Sample_860</t>
  </si>
  <si>
    <t>$FP$1:$FP$9</t>
  </si>
  <si>
    <t>Imported Module'!Sample_861</t>
  </si>
  <si>
    <t>$FO$1:$FO$9</t>
  </si>
  <si>
    <t>Imported Module'!Sample_862</t>
  </si>
  <si>
    <t>$FN$1:$FN$9</t>
  </si>
  <si>
    <t>Imported Module'!Sample_863</t>
  </si>
  <si>
    <t>$FM$1:$FM$9</t>
  </si>
  <si>
    <t>Imported Module'!Sample_864</t>
  </si>
  <si>
    <t>$FL$1:$FL$9</t>
  </si>
  <si>
    <t>Imported Module'!Sample_865</t>
  </si>
  <si>
    <t>$FK$1:$FK$9</t>
  </si>
  <si>
    <t>Imported Module'!Sample_866</t>
  </si>
  <si>
    <t>$FJ$1:$FJ$9</t>
  </si>
  <si>
    <t>Imported Module'!Sample_867</t>
  </si>
  <si>
    <t>$FI$1:$FI$9</t>
  </si>
  <si>
    <t>Imported Module'!Sample_868</t>
  </si>
  <si>
    <t>$FH$1:$FH$9</t>
  </si>
  <si>
    <t>Imported Module'!Sample_869</t>
  </si>
  <si>
    <t>$FG$1:$FG$9</t>
  </si>
  <si>
    <t>Imported Module'!Sample_87</t>
  </si>
  <si>
    <t>Imported Module'!Sample_870</t>
  </si>
  <si>
    <t>$FF$1:$FF$9</t>
  </si>
  <si>
    <t>Imported Module'!Sample_871</t>
  </si>
  <si>
    <t>$FE$1:$FE$9</t>
  </si>
  <si>
    <t>Imported Module'!Sample_872</t>
  </si>
  <si>
    <t>$FD$1:$FD$9</t>
  </si>
  <si>
    <t>Imported Module'!Sample_873</t>
  </si>
  <si>
    <t>$FC$1:$FC$9</t>
  </si>
  <si>
    <t>Imported Module'!Sample_874</t>
  </si>
  <si>
    <t>$FB$1:$FB$233</t>
  </si>
  <si>
    <t>Imported Module'!Sample_875</t>
  </si>
  <si>
    <t>$FA$1:$FA$9</t>
  </si>
  <si>
    <t>Imported Module'!Sample_876</t>
  </si>
  <si>
    <t>$EZ$1:$EZ$9</t>
  </si>
  <si>
    <t>Imported Module'!Sample_877</t>
  </si>
  <si>
    <t>$EY$1:$EY$9</t>
  </si>
  <si>
    <t>Imported Module'!Sample_878</t>
  </si>
  <si>
    <t>$EX$1:$EX$33</t>
  </si>
  <si>
    <t>Imported Module'!Sample_879</t>
  </si>
  <si>
    <t>$EW$1:$EW$90</t>
  </si>
  <si>
    <t>Imported Module'!Sample_88</t>
  </si>
  <si>
    <t>Imported Module'!Sample_880</t>
  </si>
  <si>
    <t>$EV$1:$EV$83</t>
  </si>
  <si>
    <t>Imported Module'!Sample_881</t>
  </si>
  <si>
    <t>$EU$1:$EU$75</t>
  </si>
  <si>
    <t>Imported Module'!Sample_882</t>
  </si>
  <si>
    <t>$ET$1:$ET$87</t>
  </si>
  <si>
    <t>Imported Module'!Sample_883</t>
  </si>
  <si>
    <t>$ET$1:$ET$543</t>
  </si>
  <si>
    <t>Imported Module'!Sample_884</t>
  </si>
  <si>
    <t>Imported Module'!Sample_885</t>
  </si>
  <si>
    <t>Imported Module'!Sample_886</t>
  </si>
  <si>
    <t>$ES$1:$ES$239</t>
  </si>
  <si>
    <t>Imported Module'!Sample_887</t>
  </si>
  <si>
    <t>$ER$1:$ER$44</t>
  </si>
  <si>
    <t>Imported Module'!Sample_888</t>
  </si>
  <si>
    <t>$EQ$1:$EQ$305</t>
  </si>
  <si>
    <t>Imported Module'!Sample_889</t>
  </si>
  <si>
    <t>$EP$1:$EP$56</t>
  </si>
  <si>
    <t>Imported Module'!Sample_89</t>
  </si>
  <si>
    <t>Imported Module'!Sample_890</t>
  </si>
  <si>
    <t>$EO$1:$EO$218</t>
  </si>
  <si>
    <t>Imported Module'!Sample_891</t>
  </si>
  <si>
    <t>$EN$1:$EN$145</t>
  </si>
  <si>
    <t>Imported Module'!Sample_892</t>
  </si>
  <si>
    <t>$EM$1:$EM$151</t>
  </si>
  <si>
    <t>Imported Module'!Sample_893</t>
  </si>
  <si>
    <t>$EL$1:$EL$260</t>
  </si>
  <si>
    <t>Imported Module'!Sample_894</t>
  </si>
  <si>
    <t>$EK$1:$EK$448</t>
  </si>
  <si>
    <t>Imported Module'!Sample_895</t>
  </si>
  <si>
    <t>$EJ$1:$EJ$181</t>
  </si>
  <si>
    <t>Imported Module'!Sample_896</t>
  </si>
  <si>
    <t>$EI$1:$EI$296</t>
  </si>
  <si>
    <t>Imported Module'!Sample_897</t>
  </si>
  <si>
    <t>$EH$1:$EH$361</t>
  </si>
  <si>
    <t>Imported Module'!Sample_898</t>
  </si>
  <si>
    <t>$EG$1:$EG$10</t>
  </si>
  <si>
    <t>Imported Module'!Sample_899</t>
  </si>
  <si>
    <t>$EF$1:$EF$363</t>
  </si>
  <si>
    <t>Imported Module'!Sample_9</t>
  </si>
  <si>
    <t>Imported Module'!Sample_90</t>
  </si>
  <si>
    <t>Imported Module'!Sample_900</t>
  </si>
  <si>
    <t>$EE$1:$EE$6</t>
  </si>
  <si>
    <t>Imported Module'!Sample_901</t>
  </si>
  <si>
    <t>$ED$1:$ED$5</t>
  </si>
  <si>
    <t>Imported Module'!Sample_902</t>
  </si>
  <si>
    <t>$EC$1:$EC$122</t>
  </si>
  <si>
    <t>Imported Module'!Sample_903</t>
  </si>
  <si>
    <t>$EB$1:$EB$167</t>
  </si>
  <si>
    <t>Imported Module'!Sample_904</t>
  </si>
  <si>
    <t>$EA$1:$EA$373</t>
  </si>
  <si>
    <t>Imported Module'!Sample_905</t>
  </si>
  <si>
    <t>$DZ$1:$DZ$102</t>
  </si>
  <si>
    <t>Imported Module'!Sample_906</t>
  </si>
  <si>
    <t>$DY$1:$DY$134</t>
  </si>
  <si>
    <t>Imported Module'!Sample_907</t>
  </si>
  <si>
    <t>$DX$1:$DX$278</t>
  </si>
  <si>
    <t>Imported Module'!Sample_908</t>
  </si>
  <si>
    <t>$DW$1:$DW$106</t>
  </si>
  <si>
    <t>Imported Module'!Sample_909</t>
  </si>
  <si>
    <t>$DV$1:$DV$9</t>
  </si>
  <si>
    <t>Imported Module'!Sample_91</t>
  </si>
  <si>
    <t>Imported Module'!Sample_910</t>
  </si>
  <si>
    <t>$DU$1:$DU$9</t>
  </si>
  <si>
    <t>Imported Module'!Sample_911</t>
  </si>
  <si>
    <t>$DT$1:$DT$9</t>
  </si>
  <si>
    <t>Imported Module'!Sample_912</t>
  </si>
  <si>
    <t>$DS$1:$DS$9</t>
  </si>
  <si>
    <t>Imported Module'!Sample_913</t>
  </si>
  <si>
    <t>$DR$1:$DR$9</t>
  </si>
  <si>
    <t>Imported Module'!Sample_914</t>
  </si>
  <si>
    <t>$DQ$1:$DQ$9</t>
  </si>
  <si>
    <t>Imported Module'!Sample_915</t>
  </si>
  <si>
    <t>$DP$1:$DP$9</t>
  </si>
  <si>
    <t>Imported Module'!Sample_916</t>
  </si>
  <si>
    <t>$DO$1:$DO$9</t>
  </si>
  <si>
    <t>Imported Module'!Sample_917</t>
  </si>
  <si>
    <t>$DN$1:$DN$9</t>
  </si>
  <si>
    <t>Imported Module'!Sample_918</t>
  </si>
  <si>
    <t>$DM$1:$DM$9</t>
  </si>
  <si>
    <t>Imported Module'!Sample_919</t>
  </si>
  <si>
    <t>$DL$1:$DL$9</t>
  </si>
  <si>
    <t>Imported Module'!Sample_92</t>
  </si>
  <si>
    <t>Imported Module'!Sample_920</t>
  </si>
  <si>
    <t>$DK$1:$DK$9</t>
  </si>
  <si>
    <t>Imported Module'!Sample_921</t>
  </si>
  <si>
    <t>$DJ$1:$DJ$9</t>
  </si>
  <si>
    <t>Imported Module'!Sample_922</t>
  </si>
  <si>
    <t>$DI$1:$DI$9</t>
  </si>
  <si>
    <t>Imported Module'!Sample_923</t>
  </si>
  <si>
    <t>$DH$1:$DH$9</t>
  </si>
  <si>
    <t>Imported Module'!Sample_924</t>
  </si>
  <si>
    <t>$DG$1:$DG$9</t>
  </si>
  <si>
    <t>Imported Module'!Sample_925</t>
  </si>
  <si>
    <t>$DF$1:$DF$9</t>
  </si>
  <si>
    <t>Imported Module'!Sample_926</t>
  </si>
  <si>
    <t>$DE$1:$DE$233</t>
  </si>
  <si>
    <t>Imported Module'!Sample_927</t>
  </si>
  <si>
    <t>$DD$1:$DD$9</t>
  </si>
  <si>
    <t>Imported Module'!Sample_928</t>
  </si>
  <si>
    <t>$DC$1:$DC$9</t>
  </si>
  <si>
    <t>Imported Module'!Sample_929</t>
  </si>
  <si>
    <t>$DB$1:$DB$9</t>
  </si>
  <si>
    <t>Imported Module'!Sample_93</t>
  </si>
  <si>
    <t>Imported Module'!Sample_930</t>
  </si>
  <si>
    <t>$DA$1:$DA$33</t>
  </si>
  <si>
    <t>Imported Module'!Sample_931</t>
  </si>
  <si>
    <t>$CZ$1:$CZ$90</t>
  </si>
  <si>
    <t>Imported Module'!Sample_932</t>
  </si>
  <si>
    <t>$CY$1:$CY$83</t>
  </si>
  <si>
    <t>Imported Module'!Sample_933</t>
  </si>
  <si>
    <t>$CX$1:$CX$75</t>
  </si>
  <si>
    <t>Imported Module'!Sample_934</t>
  </si>
  <si>
    <t>$CW$1:$CW$87</t>
  </si>
  <si>
    <t>Imported Module'!Sample_935</t>
  </si>
  <si>
    <t>$CW$1:$CW$543</t>
  </si>
  <si>
    <t>Imported Module'!Sample_936</t>
  </si>
  <si>
    <t>$CV$1:$CV$239</t>
  </si>
  <si>
    <t>Imported Module'!Sample_937</t>
  </si>
  <si>
    <t>$CU$1:$CU$44</t>
  </si>
  <si>
    <t>Imported Module'!Sample_938</t>
  </si>
  <si>
    <t>$CT$1:$CT$305</t>
  </si>
  <si>
    <t>Imported Module'!Sample_939</t>
  </si>
  <si>
    <t>$CS$1:$CS$56</t>
  </si>
  <si>
    <t>Imported Module'!Sample_94</t>
  </si>
  <si>
    <t>Imported Module'!Sample_940</t>
  </si>
  <si>
    <t>$CR$1:$CR$218</t>
  </si>
  <si>
    <t>Imported Module'!Sample_941</t>
  </si>
  <si>
    <t>$CQ$1:$CQ$145</t>
  </si>
  <si>
    <t>Imported Module'!Sample_942</t>
  </si>
  <si>
    <t>$CP$1:$CP$151</t>
  </si>
  <si>
    <t>Imported Module'!Sample_943</t>
  </si>
  <si>
    <t>$CO$1:$CO$260</t>
  </si>
  <si>
    <t>Imported Module'!Sample_944</t>
  </si>
  <si>
    <t>$CN$1:$CN$448</t>
  </si>
  <si>
    <t>Imported Module'!Sample_945</t>
  </si>
  <si>
    <t>$CM$1:$CM$181</t>
  </si>
  <si>
    <t>Imported Module'!Sample_946</t>
  </si>
  <si>
    <t>$CL$1:$CL$296</t>
  </si>
  <si>
    <t>Imported Module'!Sample_947</t>
  </si>
  <si>
    <t>$CK$1:$CK$361</t>
  </si>
  <si>
    <t>Imported Module'!Sample_948</t>
  </si>
  <si>
    <t>$CJ$1:$CJ$10</t>
  </si>
  <si>
    <t>Imported Module'!Sample_949</t>
  </si>
  <si>
    <t>$CI$1:$CI$363</t>
  </si>
  <si>
    <t>Imported Module'!Sample_95</t>
  </si>
  <si>
    <t>Imported Module'!Sample_950</t>
  </si>
  <si>
    <t>$CH$1:$CH$6</t>
  </si>
  <si>
    <t>Imported Module'!Sample_951</t>
  </si>
  <si>
    <t>$CG$1:$CG$5</t>
  </si>
  <si>
    <t>Imported Module'!Sample_952</t>
  </si>
  <si>
    <t>$CF$1:$CF$122</t>
  </si>
  <si>
    <t>Imported Module'!Sample_953</t>
  </si>
  <si>
    <t>$CE$1:$CE$167</t>
  </si>
  <si>
    <t>Imported Module'!Sample_954</t>
  </si>
  <si>
    <t>$CD$1:$CD$373</t>
  </si>
  <si>
    <t>Imported Module'!Sample_955</t>
  </si>
  <si>
    <t>$CC$1:$CC$102</t>
  </si>
  <si>
    <t>Imported Module'!Sample_956</t>
  </si>
  <si>
    <t>$CB$1:$CB$134</t>
  </si>
  <si>
    <t>Imported Module'!Sample_957</t>
  </si>
  <si>
    <t>$CA$1:$CA$278</t>
  </si>
  <si>
    <t>Imported Module'!Sample_958</t>
  </si>
  <si>
    <t>$BZ$1:$BZ$106</t>
  </si>
  <si>
    <t>Imported Module'!Sample_959</t>
  </si>
  <si>
    <t>$BY$1:$BY$9</t>
  </si>
  <si>
    <t>Imported Module'!Sample_96</t>
  </si>
  <si>
    <t>Imported Module'!Sample_960</t>
  </si>
  <si>
    <t>$BX$1:$BX$9</t>
  </si>
  <si>
    <t>Imported Module'!Sample_961</t>
  </si>
  <si>
    <t>$BW$1:$BW$9</t>
  </si>
  <si>
    <t>Imported Module'!Sample_962</t>
  </si>
  <si>
    <t>$BV$1:$BV$9</t>
  </si>
  <si>
    <t>Imported Module'!Sample_963</t>
  </si>
  <si>
    <t>$BU$1:$BU$9</t>
  </si>
  <si>
    <t>Imported Module'!Sample_964</t>
  </si>
  <si>
    <t>$BT$1:$BT$9</t>
  </si>
  <si>
    <t>Imported Module'!Sample_965</t>
  </si>
  <si>
    <t>$BS$1:$BS$9</t>
  </si>
  <si>
    <t>Imported Module'!Sample_966</t>
  </si>
  <si>
    <t>$BR$1:$BR$9</t>
  </si>
  <si>
    <t>Imported Module'!Sample_967</t>
  </si>
  <si>
    <t>$BQ$1:$BQ$9</t>
  </si>
  <si>
    <t>Imported Module'!Sample_968</t>
  </si>
  <si>
    <t>$BP$1:$BP$9</t>
  </si>
  <si>
    <t>Imported Module'!Sample_969</t>
  </si>
  <si>
    <t>$BO$1:$BO$9</t>
  </si>
  <si>
    <t>Imported Module'!Sample_97</t>
  </si>
  <si>
    <t>Imported Module'!Sample_970</t>
  </si>
  <si>
    <t>$BN$1:$BN$9</t>
  </si>
  <si>
    <t>Imported Module'!Sample_971</t>
  </si>
  <si>
    <t>$BM$1:$BM$9</t>
  </si>
  <si>
    <t>Imported Module'!Sample_972</t>
  </si>
  <si>
    <t>$BL$1:$BL$9</t>
  </si>
  <si>
    <t>Imported Module'!Sample_973</t>
  </si>
  <si>
    <t>$BK$1:$BK$9</t>
  </si>
  <si>
    <t>Imported Module'!Sample_974</t>
  </si>
  <si>
    <t>$BJ$1:$BJ$9</t>
  </si>
  <si>
    <t>Imported Module'!Sample_975</t>
  </si>
  <si>
    <t>$BI$1:$BI$9</t>
  </si>
  <si>
    <t>Imported Module'!Sample_976</t>
  </si>
  <si>
    <t>$BH$1:$BH$233</t>
  </si>
  <si>
    <t>Imported Module'!Sample_977</t>
  </si>
  <si>
    <t>$BG$1:$BG$9</t>
  </si>
  <si>
    <t>Imported Module'!Sample_978</t>
  </si>
  <si>
    <t>$BF$1:$BF$9</t>
  </si>
  <si>
    <t>Imported Module'!Sample_979</t>
  </si>
  <si>
    <t>$BE$1:$BE$9</t>
  </si>
  <si>
    <t>Imported Module'!Sample_98</t>
  </si>
  <si>
    <t>Imported Module'!Sample_980</t>
  </si>
  <si>
    <t>$BD$1:$BD$33</t>
  </si>
  <si>
    <t>Imported Module'!Sample_981</t>
  </si>
  <si>
    <t>$BC$1:$BC$90</t>
  </si>
  <si>
    <t>Imported Module'!Sample_982</t>
  </si>
  <si>
    <t>$BB$1:$BB$83</t>
  </si>
  <si>
    <t>Imported Module'!Sample_983</t>
  </si>
  <si>
    <t>$BA$1:$BA$75</t>
  </si>
  <si>
    <t>Imported Module'!Sample_984</t>
  </si>
  <si>
    <t>$AZ$1:$AZ$87</t>
  </si>
  <si>
    <t>Imported Module'!Sample_985</t>
  </si>
  <si>
    <t>$AZ$1:$AZ$543</t>
  </si>
  <si>
    <t>Imported Module'!Sample_986</t>
  </si>
  <si>
    <t>$AY$1:$AY$239</t>
  </si>
  <si>
    <t>Imported Module'!Sample_987</t>
  </si>
  <si>
    <t>$AX$1:$AX$44</t>
  </si>
  <si>
    <t>Imported Module'!Sample_988</t>
  </si>
  <si>
    <t>$AW$1:$AW$305</t>
  </si>
  <si>
    <t>Imported Module'!Sample_989</t>
  </si>
  <si>
    <t>$AV$1:$AV$56</t>
  </si>
  <si>
    <t>Imported Module'!Sample_99</t>
  </si>
  <si>
    <t>Imported Module'!Sample_990</t>
  </si>
  <si>
    <t>$AU$1:$AU$218</t>
  </si>
  <si>
    <t>Imported Module'!Sample_991</t>
  </si>
  <si>
    <t>$AT$1:$AT$145</t>
  </si>
  <si>
    <t>Imported Module'!Sample_992</t>
  </si>
  <si>
    <t>$AS$1:$AS$151</t>
  </si>
  <si>
    <t>Imported Module'!Sample_993</t>
  </si>
  <si>
    <t>$AR$1:$AR$260</t>
  </si>
  <si>
    <t>Imported Module'!Sample_994</t>
  </si>
  <si>
    <t>$AQ$1:$AQ$448</t>
  </si>
  <si>
    <t>Imported Module'!Sample_995</t>
  </si>
  <si>
    <t>$AP$1:$AP$181</t>
  </si>
  <si>
    <t>Imported Module'!Sample_996</t>
  </si>
  <si>
    <t>$AO$1:$AO$296</t>
  </si>
  <si>
    <t>Imported Module'!Sample_997</t>
  </si>
  <si>
    <t>$AN$1:$AN$361</t>
  </si>
  <si>
    <t>Imported Module'!Sample_998</t>
  </si>
  <si>
    <t>$AM$1:$AM$10</t>
  </si>
  <si>
    <t>Imported Module'!Sample_999</t>
  </si>
  <si>
    <t>$AL$1:$AL$363</t>
  </si>
  <si>
    <t>StepRange</t>
  </si>
  <si>
    <t>$C$7:$C$16</t>
  </si>
  <si>
    <t>width_of_objects</t>
  </si>
  <si>
    <t>$E$2</t>
  </si>
  <si>
    <t xml:space="preserve">        '!!!!!!!!!!!!!!!!!!!!!!!!!!!!!!!!!!!!!!!!!!!!!!!!!!!!!!!!!!!!!!!!!!!!!!!!</t>
  </si>
  <si>
    <t xml:space="preserve">        '!!!!!!!!!!!!!!!!!!!!!!!!!!!!!!!!!!!!!!!!!!!!!!!!!!!!!!!!!!!!!!!!!!!!!!!</t>
  </si>
  <si>
    <t xml:space="preserve">        Dim CPath As String</t>
  </si>
  <si>
    <t xml:space="preserve">        Dim CDir As String</t>
  </si>
  <si>
    <t xml:space="preserve">        Dim filename As String</t>
  </si>
  <si>
    <t xml:space="preserve">        Dim Ret As String</t>
  </si>
  <si>
    <t xml:space="preserve">        Dim Cntr As Integer</t>
  </si>
  <si>
    <t xml:space="preserve">        Dim i As Integer</t>
  </si>
  <si>
    <t xml:space="preserve">        Dim BottomMod As Integer</t>
  </si>
  <si>
    <t xml:space="preserve">        Dim Bkslsh As Integer</t>
  </si>
  <si>
    <t xml:space="preserve">        Dim myValue As Integer</t>
  </si>
  <si>
    <t xml:space="preserve">        Dim RetRow As Integer</t>
  </si>
  <si>
    <t xml:space="preserve">        Dim lenRet As Integer</t>
  </si>
  <si>
    <t xml:space="preserve">        Dim markFileNm As Integer</t>
  </si>
  <si>
    <t xml:space="preserve">        Dim FileNm As String</t>
  </si>
  <si>
    <t xml:space="preserve">        Dim mn As Integer                       'counter</t>
  </si>
  <si>
    <t xml:space="preserve">        Const ForReading = 1</t>
  </si>
  <si>
    <t xml:space="preserve">        Dim strData As String</t>
  </si>
  <si>
    <t xml:space="preserve">        Dim ModuleCode As Variant</t>
  </si>
  <si>
    <t xml:space="preserve">        'Call SelectFile</t>
  </si>
  <si>
    <t xml:space="preserve">        'SelectFile puts the path to the modules in cell H3 on the Component Data</t>
  </si>
  <si>
    <t xml:space="preserve">        'Not needed as path already on Start Sheet B12</t>
  </si>
  <si>
    <t xml:space="preserve">        CPath = Sheets("Start Sheet").Range("B12").Value</t>
  </si>
  <si>
    <t xml:space="preserve">        If CPath = "" Then</t>
  </si>
  <si>
    <t xml:space="preserve">        MsgBox "Cell B12 on Start Sheet is empty. Should run Get Workbook again"</t>
  </si>
  <si>
    <t xml:space="preserve">        Exit Sub</t>
  </si>
  <si>
    <t xml:space="preserve">        Else</t>
  </si>
  <si>
    <t xml:space="preserve">        CPath = CPath &amp; "\"</t>
  </si>
  <si>
    <t xml:space="preserve">        'Now pick single Module or all to Map</t>
  </si>
  <si>
    <t xml:space="preserve">        Sheets("Imported Module").Activate</t>
  </si>
  <si>
    <t xml:space="preserve">        LastRow = Sheets("Component Data").Range("A1").End(xlDown).Row</t>
  </si>
  <si>
    <t xml:space="preserve">        'Input How many modules to process One or all</t>
  </si>
  <si>
    <t xml:space="preserve">        'You get 3 tries if incorrect exit Sub</t>
  </si>
  <si>
    <t xml:space="preserve">        For i = 1 To 3</t>
  </si>
  <si>
    <t xml:space="preserve">        Next i</t>
  </si>
  <si>
    <t xml:space="preserve">        If myValue &lt;&gt; 1 And myValue &lt;&gt; 2 Then Exit Sub</t>
  </si>
  <si>
    <t xml:space="preserve">            Sheets("Imported Module").Cells.Clear</t>
  </si>
  <si>
    <t xml:space="preserve">        If myValue = 1 Then</t>
  </si>
  <si>
    <t xml:space="preserve">        ChDir CPath</t>
  </si>
  <si>
    <t xml:space="preserve">       ' MsgBox (" Curr Dir =  ") &amp; CurDir()</t>
  </si>
  <si>
    <t xml:space="preserve">        Ret = Application.GetOpenFilename("All Files (*.*), *.*", Title:="Please select a Module")</t>
  </si>
  <si>
    <t xml:space="preserve">        lenRet = Len(Ret)</t>
  </si>
  <si>
    <t xml:space="preserve">        markFileNm = InStrRev(Ret, "\")</t>
  </si>
  <si>
    <t xml:space="preserve">        FileNm = Right(Ret, lenRet - markFileNm)</t>
  </si>
  <si>
    <t xml:space="preserve">        'Find row number for single module selection</t>
  </si>
  <si>
    <t xml:space="preserve">        For i = 2 To LastRow</t>
  </si>
  <si>
    <t xml:space="preserve">        If FileNm = Sheets("Component Data").Range("A" &amp; i) Then RetRow = i</t>
  </si>
  <si>
    <t xml:space="preserve">        LastRow = 2</t>
  </si>
  <si>
    <t xml:space="preserve">        Ret = CPath</t>
  </si>
  <si>
    <t xml:space="preserve">        For mn = 2 To LastRow</t>
  </si>
  <si>
    <t xml:space="preserve">        'If all modules was selected use i in loop to cycle thru all Modules</t>
  </si>
  <si>
    <t xml:space="preserve">        If myValue = 2 Then RetRow = mn</t>
  </si>
  <si>
    <t xml:space="preserve">        RetFile = Ret &amp; Sheets("Component Data").Range("A" &amp; RetRow).Value</t>
  </si>
  <si>
    <t xml:space="preserve">        'Debug.Print "RetFile'   " &amp; retfile</t>
  </si>
  <si>
    <t xml:space="preserve">            'If Ret &lt;&gt; False Then</t>
  </si>
  <si>
    <t xml:space="preserve">        'Create a File System Object</t>
  </si>
  <si>
    <t xml:space="preserve">        Set objFSO = CreateObject("Scripting.FileSystemObject")</t>
  </si>
  <si>
    <t xml:space="preserve">        'Open the text file - strData now contains the whole file</t>
  </si>
  <si>
    <t xml:space="preserve">        strData = objFSO.OpenTextFile(RetFile, ForReading).ReadAll</t>
  </si>
  <si>
    <t xml:space="preserve">            ModuleCode = Split(strData, vbCrLf)</t>
  </si>
  <si>
    <t xml:space="preserve">               </t>
  </si>
  <si>
    <t xml:space="preserve">            For i = 0 To UBound(ModuleCode)</t>
  </si>
  <si>
    <t xml:space="preserve">            Sheets("Imported Module").Range("A1").Offset(i, 0).Value = ModuleCode(i)</t>
  </si>
  <si>
    <t xml:space="preserve">               BottomMod = UBound(ModuleCode) + 1</t>
  </si>
  <si>
    <t xml:space="preserve">            Set objFSO = Nothing</t>
  </si>
  <si>
    <t xml:space="preserve">    'MsgBox ("Bottom =  ") &amp; BottomMod</t>
  </si>
  <si>
    <t xml:space="preserve">    Sheets("Imported Module").Range("C1").Value = BottomMod</t>
  </si>
  <si>
    <t xml:space="preserve">    Next mn</t>
  </si>
  <si>
    <t xml:space="preserve">        '!!!!!!!!!!!!!!!!!!!!!!!!!!!!!!!!!!!!!!!!!!!!!!!!!!!!!!!!!!!!!!!!!!!!!!!!!!</t>
  </si>
  <si>
    <t xml:space="preserve">        'other subs are called from it</t>
  </si>
  <si>
    <t xml:space="preserve">        '!!!!!!!!!!!!!!!!!!!!!!!!!!!!!!!!!!!!!!!!!!!!!!!!!!!!!!!!!!!!!!!!!!!!!!!!!!!</t>
  </si>
  <si>
    <t xml:space="preserve">        Dim ModuleName As String</t>
  </si>
  <si>
    <t xml:space="preserve">        Dim SubName As String</t>
  </si>
  <si>
    <t xml:space="preserve">        Dim ModId As String</t>
  </si>
  <si>
    <t xml:space="preserve">        Dim FuncId As String</t>
  </si>
  <si>
    <t xml:space="preserve">        Dim OutputLine As Integer</t>
  </si>
  <si>
    <t xml:space="preserve">        Dim LineLength As Integer</t>
  </si>
  <si>
    <t xml:space="preserve">        Dim ModNameStart As Integer</t>
  </si>
  <si>
    <t xml:space="preserve">        Dim ModuleNm As String</t>
  </si>
  <si>
    <t xml:space="preserve">        Dim LineContents As String</t>
  </si>
  <si>
    <t xml:space="preserve">        Dim IsFunc As String</t>
  </si>
  <si>
    <t xml:space="preserve">        Dim InSub As Integer            '1 if moving thru a subroutine 0 if not</t>
  </si>
  <si>
    <t xml:space="preserve">        Dim InFunc As Integer             'not 0 if moving thru a function</t>
  </si>
  <si>
    <t xml:space="preserve">        Application.TransitionNavigKeys = False</t>
  </si>
  <si>
    <t xml:space="preserve">        Sheets("Subroutine Map").Range("E:E").ColumnWidth = 15</t>
  </si>
  <si>
    <t xml:space="preserve">        Sheets("Subroutine Map").Range("G:G").ColumnWidth = 15</t>
  </si>
  <si>
    <t xml:space="preserve">         Else</t>
  </si>
  <si>
    <t xml:space="preserve">         End If</t>
  </si>
  <si>
    <t xml:space="preserve">         </t>
  </si>
  <si>
    <t xml:space="preserve">            If FindComment &gt; 0 Then</t>
  </si>
  <si>
    <t xml:space="preserve">            LeftofComm = Left(LineContents, FindComment)</t>
  </si>
  <si>
    <t xml:space="preserve">            LineContents = LeftofComm</t>
  </si>
  <si>
    <t xml:space="preserve">            Else</t>
  </si>
  <si>
    <t xml:space="preserve">    If Len(Trim(LineContents)) &gt; 1 Then</t>
  </si>
  <si>
    <t xml:space="preserve">                Else</t>
  </si>
  <si>
    <t xml:space="preserve">                  </t>
  </si>
  <si>
    <t xml:space="preserve">             'Check to see if you are exiting a SubRoutine or Function</t>
  </si>
  <si>
    <t xml:space="preserve">             InSub = 0</t>
  </si>
  <si>
    <t xml:space="preserve">             If InSub &gt; 0 Then InSub = InSub + 1</t>
  </si>
  <si>
    <t xml:space="preserve">             InFunc = 0</t>
  </si>
  <si>
    <t xml:space="preserve">             Else: If InFunc &gt; 0 Then InFunc = InFunc + 1</t>
  </si>
  <si>
    <t xml:space="preserve">                 'Now check for Sub Routine calls</t>
  </si>
  <si>
    <t xml:space="preserve">                LineLength = Len(Trim(LineContents))</t>
  </si>
  <si>
    <t xml:space="preserve">                KillUndrScr = InStr(1, Trim(LineContents), " _")</t>
  </si>
  <si>
    <t xml:space="preserve">                If KillUndrScr &lt;&gt; 0 Then LineContents = Left(Trim(LineContents), KillUndrScr)</t>
  </si>
  <si>
    <t xml:space="preserve">                KillCall = InStr(1, Trim(LineContents), "Call ")</t>
  </si>
  <si>
    <t xml:space="preserve">                If KillCall &gt; 0 Then KillCall = KillCall + 4</t>
  </si>
  <si>
    <t xml:space="preserve">                'this looks for space after Call to cut it from the Line</t>
  </si>
  <si>
    <t xml:space="preserve">                 'Sheets("Subroutine Map").Range("D" &amp; OutputLine).Value =</t>
  </si>
  <si>
    <t xml:space="preserve">                x = Application.WorksheetFunction.VLookup(LineContents, Range("MacrosAlpha"), 6)</t>
  </si>
  <si>
    <t xml:space="preserve">                 x = Application.WorksheetFunction.VLookup(LineContents, Range("MacrosAlpha"), 4)</t>
  </si>
  <si>
    <t xml:space="preserve">                 x = Application.WorksheetFunction.VLookup(LineContents, Range("MacrosAlpha"), 7)</t>
  </si>
  <si>
    <t xml:space="preserve">                 OutputLine = OutputLine + 1</t>
  </si>
  <si>
    <t xml:space="preserve">                 ' MsgBox ("") &amp; CallingSuborFn</t>
  </si>
  <si>
    <t xml:space="preserve">             'Not a Sub Routine Is it a Function Call</t>
  </si>
  <si>
    <t xml:space="preserve">             If Len(IsFunc) &gt; 0 Then</t>
  </si>
  <si>
    <t xml:space="preserve">             x = Application.WorksheetFunction.VLookup(Trim(IsFunc), Range("MacrosAlpha"), 6)</t>
  </si>
  <si>
    <t xml:space="preserve">                 x = Application.WorksheetFunction.VLookup(Trim(IsFunc), Range("MacrosAlpha"), 4)</t>
  </si>
  <si>
    <t xml:space="preserve">                 x = Application.WorksheetFunction.VLookup(Trim(IsFunc), Range("MacrosAlpha"), 7)</t>
  </si>
  <si>
    <t xml:space="preserve">              OutputLine = OutputLine + 1</t>
  </si>
  <si>
    <t xml:space="preserve">                 If InStr(1, LineContents, "'") &gt; 0 Then</t>
  </si>
  <si>
    <t xml:space="preserve">                     Sheets("Subroutine Map").Range("N" &amp; OutputLine).Value = "Line=  " &amp; i &amp; "     Not Active Commented out"</t>
  </si>
  <si>
    <t xml:space="preserve">                     Else</t>
  </si>
  <si>
    <t xml:space="preserve">                     Sheets("Subroutine Map").Range("N" &amp; OutputLine).Value = "Line=  " &amp; i</t>
  </si>
  <si>
    <t xml:space="preserve">                     End If</t>
  </si>
  <si>
    <t xml:space="preserve">               Else</t>
  </si>
  <si>
    <t xml:space="preserve">               End If</t>
  </si>
  <si>
    <t xml:space="preserve">      End If</t>
  </si>
  <si>
    <t xml:space="preserve">           End Sub</t>
  </si>
  <si>
    <t xml:space="preserve">    '!!!!!!!!!!!!!!!!!!!!!!!!!!!!!!!!!!!!!!!!!!!!!!!!!!!!!!!!!!!!!!!!!!!!!!</t>
  </si>
  <si>
    <t xml:space="preserve">    'Determines if line is a sub routine call either using traditiona Call sub</t>
  </si>
  <si>
    <t xml:space="preserve">    'other symbols listed below</t>
  </si>
  <si>
    <t xml:space="preserve">    '!!!!!!!!!!!!!!!!!!!!!!!!!!!!!!!!!!!!!!!!!!!!!!!!!!!!!!!!!!!!!!!!!!!!!</t>
  </si>
  <si>
    <t xml:space="preserve">    Dim IsSub As Integer</t>
  </si>
  <si>
    <t xml:space="preserve">    Dim FindComment As Integer</t>
  </si>
  <si>
    <t xml:space="preserve">    Dim LeftofComment As String</t>
  </si>
  <si>
    <t xml:space="preserve">    Dim LastFunc As Integer</t>
  </si>
  <si>
    <t xml:space="preserve">    Dim SubName As String</t>
  </si>
  <si>
    <t xml:space="preserve">    Dim FuncCall As Integer</t>
  </si>
  <si>
    <t xml:space="preserve">    Dim PossibleSub As Integer</t>
  </si>
  <si>
    <t xml:space="preserve">    Dim FirstParen As Integer</t>
  </si>
  <si>
    <t xml:space="preserve">    Dim DoubleQ As Integer</t>
  </si>
  <si>
    <t xml:space="preserve">    Dim TestforSub As Integer</t>
  </si>
  <si>
    <t xml:space="preserve">    AlphaStart = Sheets("MacroList").Range("P1").Value</t>
  </si>
  <si>
    <t xml:space="preserve">    AlphaEnd = Sheets("MacroList").Range("P2").Value</t>
  </si>
  <si>
    <t xml:space="preserve">    'Is it a sub routine using standard call</t>
  </si>
  <si>
    <t xml:space="preserve">      </t>
  </si>
  <si>
    <t xml:space="preserve">    End Function</t>
  </si>
  <si>
    <t xml:space="preserve">    'Determines if line is a Function call</t>
  </si>
  <si>
    <t xml:space="preserve">    ' call must start with a letter and not contain any of various</t>
  </si>
  <si>
    <t xml:space="preserve">    Dim IsFunc As Boolean</t>
  </si>
  <si>
    <t xml:space="preserve">    Dim FuncName As String</t>
  </si>
  <si>
    <t xml:space="preserve">    Dim lineLen As Integer</t>
  </si>
  <si>
    <t xml:space="preserve">    Dim FuncTest As String</t>
  </si>
  <si>
    <t xml:space="preserve">    Dim PossibleFunc As Integer</t>
  </si>
  <si>
    <t xml:space="preserve">    Dim LI As Integer               'Line Index</t>
  </si>
  <si>
    <t xml:space="preserve">    Dim Test As String</t>
  </si>
  <si>
    <t/>
  </si>
  <si>
    <t xml:space="preserve">            'Handle in line comments (to the right of code)</t>
  </si>
  <si>
    <t xml:space="preserve">            FindComment = InStr(1, LineContents, "'")</t>
  </si>
  <si>
    <t xml:space="preserve">    'Is it a Func routine</t>
  </si>
  <si>
    <t xml:space="preserve">    IsFunc = 0</t>
  </si>
  <si>
    <t xml:space="preserve">        'If line meets either set of critera to be a function then</t>
  </si>
  <si>
    <t xml:space="preserve">        'run the line thru the function List to see if a match turns up</t>
  </si>
  <si>
    <t xml:space="preserve">        'added a space infront of Function cause with function names that</t>
  </si>
  <si>
    <t xml:space="preserve">        'are short it is still easy to get a match whe it's not the actual</t>
  </si>
  <si>
    <t xml:space="preserve">        'function being called.</t>
  </si>
  <si>
    <t xml:space="preserve">         BotFuncList = Sheets("Function List").Range("A1").End(xlDown).Row</t>
  </si>
  <si>
    <t xml:space="preserve">         IsFunc = 0</t>
  </si>
  <si>
    <t xml:space="preserve">        Next LI</t>
  </si>
  <si>
    <t xml:space="preserve">        'MsgBox ("") &amp; LineContents &amp; " LI   " &amp; LI &amp; "  isfunc  " &amp; IsFunc &amp; " FuncNm  " &amp; funcnm</t>
  </si>
  <si>
    <t xml:space="preserve">        If IsFunc = True Then</t>
  </si>
  <si>
    <t xml:space="preserve">        End Function</t>
  </si>
  <si>
    <t xml:space="preserve">commented out code which clear out Imported module sheet in </t>
  </si>
  <si>
    <t>Sub PullModuleList in Module Selcect_Module_to_import_Then _Map</t>
  </si>
  <si>
    <t xml:space="preserve">I tring to figure out the best way to put in a print option . Ideally it would auto format </t>
  </si>
  <si>
    <t>all details of the modules and also print out code</t>
  </si>
  <si>
    <t>v3.8</t>
  </si>
  <si>
    <t>Located in  ThisWorkbook</t>
  </si>
  <si>
    <t>Located in  Sheet1</t>
  </si>
  <si>
    <t>Located in  Sheet2</t>
  </si>
  <si>
    <t>Located in  Sheet3</t>
  </si>
  <si>
    <t>Located in  Sheet4</t>
  </si>
  <si>
    <t>Located in  Selct_Module_to_Import_Then_Map</t>
  </si>
  <si>
    <t>Located in  FlowChart_Control</t>
  </si>
  <si>
    <t>Located in  Sheet5</t>
  </si>
  <si>
    <t>Located in  automate</t>
  </si>
  <si>
    <t>Located in  menuoptions</t>
  </si>
  <si>
    <t>Located in  Sheet21</t>
  </si>
  <si>
    <t>Located in  Prog_Control_and_Help</t>
  </si>
  <si>
    <t>Located in  Sheet22</t>
  </si>
  <si>
    <t>Located in  uf_FC_Help</t>
  </si>
  <si>
    <t>Located in  uf_InputForm</t>
  </si>
  <si>
    <t>Located in  Automate_FC_Steps</t>
  </si>
  <si>
    <t>Located in  UF_Select_Sub_or_Function</t>
  </si>
  <si>
    <t>Located in  Uf_Code</t>
  </si>
  <si>
    <t>Located in  Sheet134</t>
  </si>
  <si>
    <t>Located in  Get_Workbook_Components</t>
  </si>
  <si>
    <t>Located in  ListofMacros</t>
  </si>
  <si>
    <t>Located in  Sheet135</t>
  </si>
  <si>
    <t>Located in  Sheet136</t>
  </si>
  <si>
    <t>Located in  uf_ProgressMessage</t>
  </si>
  <si>
    <t>Located in  Sheet6</t>
  </si>
  <si>
    <t>Located in  Sheet7</t>
  </si>
  <si>
    <t>Located in  Module1</t>
  </si>
  <si>
    <t>Located in  Sheet8</t>
  </si>
  <si>
    <t>Located in  Module2</t>
  </si>
  <si>
    <t>Located in  Sheet15</t>
  </si>
  <si>
    <t>Located in  Module3</t>
  </si>
  <si>
    <t>Located in  Sheet9</t>
  </si>
  <si>
    <t>Located in  Sheet11</t>
  </si>
  <si>
    <t xml:space="preserve">        'This creates a string of the components commands then parses it in to a variant array</t>
  </si>
  <si>
    <t xml:space="preserve">        'Module Code. Code is then placed on sheet Imported Module.</t>
  </si>
  <si>
    <t xml:space="preserve">        'one or all component files in CurrComponents are processed</t>
  </si>
  <si>
    <t xml:space="preserve">        ' Then MapSubs is called (in this module) . Last Sort_Sub_Func_Map is called</t>
  </si>
  <si>
    <t xml:space="preserve">        '</t>
  </si>
  <si>
    <t xml:space="preserve">        Dim objFSO As Object                    'Create an instance of the FileSystemObject</t>
  </si>
  <si>
    <t xml:space="preserve">            myValue = InputBox("How many Modules do you want to map  One = 1  All Modules = 2 ")</t>
  </si>
  <si>
    <t xml:space="preserve">            If myValue = 1 Or myValue = 2 Then</t>
  </si>
  <si>
    <t xml:space="preserve">            Exit For</t>
  </si>
  <si>
    <t xml:space="preserve">            MsgBox ("Valid Inputs are either  1 or  2 ")</t>
  </si>
  <si>
    <t xml:space="preserve">            'Clesr Old Data</t>
  </si>
  <si>
    <t xml:space="preserve">            Sheets("SubRoutine Map").Columns("A:O").ClearContents</t>
  </si>
  <si>
    <t xml:space="preserve">        'CPath is directory where components from the spreadsheet are found set above</t>
  </si>
  <si>
    <t xml:space="preserve">        'starts at 2 as Row 1 is the Header</t>
  </si>
  <si>
    <t xml:space="preserve">        'else use retRow as determined above</t>
  </si>
  <si>
    <t xml:space="preserve">            'parse string based on end of line</t>
  </si>
  <si>
    <t xml:space="preserve">            'Create sheet MacroList</t>
  </si>
  <si>
    <t xml:space="preserve">    'Sheets("Imported Module").Cells.Clear</t>
  </si>
  <si>
    <t xml:space="preserve">        'This loops thru each line of a Module. First eliminates comment lines.</t>
  </si>
  <si>
    <t xml:space="preserve">        'to identify each Subroutine in the module.</t>
  </si>
  <si>
    <t xml:space="preserve">                'set name of sub or fn calling to red and size to 14</t>
  </si>
  <si>
    <t xml:space="preserve">                'This extracts just the sub called named from the line</t>
  </si>
  <si>
    <t xml:space="preserve">                'set color to black</t>
  </si>
  <si>
    <t>Located on sheet Subroutine Map</t>
  </si>
  <si>
    <t>Comment 1</t>
  </si>
  <si>
    <t>Subroutine Map</t>
  </si>
  <si>
    <t>Comment 2</t>
  </si>
  <si>
    <t xml:space="preserve"> List of Macros</t>
  </si>
  <si>
    <t>Format_Sub_Map</t>
  </si>
  <si>
    <t xml:space="preserve">        Dim cmt As Comment</t>
  </si>
  <si>
    <t xml:space="preserve">        Dim DataforSheetAry(1 To 300, 1 To 10) As String</t>
  </si>
  <si>
    <t xml:space="preserve">      Else</t>
  </si>
  <si>
    <t xml:space="preserve">     '!!!!!!!!!!!!!!!!!!!!!!!!!!!!!!!!!!!!!!!!!!!!!!!!!!!!!!!!!!!!!!!!!!!!!!</t>
  </si>
  <si>
    <t xml:space="preserve">          '</t>
  </si>
  <si>
    <t>IsFuncCall1</t>
  </si>
  <si>
    <t>Lines = 333</t>
  </si>
  <si>
    <t>Lines = 434</t>
  </si>
  <si>
    <t xml:space="preserve">    'Call SortSub_Func_Map</t>
  </si>
  <si>
    <t xml:space="preserve">        Dim ColIndx(8) As Integer</t>
  </si>
  <si>
    <t xml:space="preserve">        BottomofMod = Sheets("Imported Module").Range("C1").Value</t>
  </si>
  <si>
    <t xml:space="preserve">                '   Sheets("Subroutine Map").Range("B" &amp; OutputLine).Font.Color = RGB(255, 0, 0)</t>
  </si>
  <si>
    <t xml:space="preserve">                '   Sheets("Subroutine Map").Range("B" &amp; OutputLine).Font.Size = 14</t>
  </si>
  <si>
    <t xml:space="preserve">                'Sheets("Subroutine Map").Range("D" &amp; OutputLine).Font.Color = RGB(0, 0, 0)</t>
  </si>
  <si>
    <t xml:space="preserve">                'Sheets("Subroutine Map").Range("D" &amp; OutputLine).Font.Size = 12</t>
  </si>
  <si>
    <t xml:space="preserve">                DataforSheetAry(OutputLine, 5) = "Line=  " &amp; i</t>
  </si>
  <si>
    <t xml:space="preserve">                DataforSheetAry(OutputLine, 6) = x</t>
  </si>
  <si>
    <t xml:space="preserve">                DataforSheetAry(OutputLine, 7) = "Line#=" &amp; x</t>
  </si>
  <si>
    <t xml:space="preserve">                DataforSheetAry(OutputLine, 8) = x</t>
  </si>
  <si>
    <t xml:space="preserve">                 'MsgBox ("outputline  ") &amp; OutputLine</t>
  </si>
  <si>
    <t xml:space="preserve">             'Sheets("Subroutine Map").Range("D" &amp; OutputLine).Font.Color = RGB(255, 0, 255)</t>
  </si>
  <si>
    <t xml:space="preserve">             'Sheets("Subroutine Map").Range("D" &amp; OutputLine).Font.Size = 12</t>
  </si>
  <si>
    <t xml:space="preserve">               DataforSheetAry(OutputLine, 6) = x</t>
  </si>
  <si>
    <t xml:space="preserve">               DataforSheetAry(OutputLine, 8) = x</t>
  </si>
  <si>
    <t xml:space="preserve">       ' MsgBox ("outputline  ") &amp; OutputLine</t>
  </si>
  <si>
    <t xml:space="preserve">         Next j</t>
  </si>
  <si>
    <t xml:space="preserve">        Sheets("Subroutine Map").Range("A:A").ColumnWidth = 20</t>
  </si>
  <si>
    <t xml:space="preserve">    Dim SendBack As String</t>
  </si>
  <si>
    <t xml:space="preserve">        For LI = 2 To BotFuncList</t>
  </si>
  <si>
    <t xml:space="preserve">        IsFuncCall1 = SendBack</t>
  </si>
  <si>
    <t xml:space="preserve">         IsFuncCal1 = ""</t>
  </si>
  <si>
    <t>Lines = 752</t>
  </si>
  <si>
    <t>Located in  NewMapModule</t>
  </si>
  <si>
    <t>NewMapModule</t>
  </si>
  <si>
    <t>List_procs_in_Module</t>
  </si>
  <si>
    <t>SubandFuncCalls</t>
  </si>
  <si>
    <t>FindCallingProc</t>
  </si>
  <si>
    <t>IsSubCall1</t>
  </si>
  <si>
    <t>Attribute VB_Name = "NewMapModule"</t>
  </si>
  <si>
    <t xml:space="preserve">         Sub PullModuleList()</t>
  </si>
  <si>
    <t xml:space="preserve">    'Call MapSubs</t>
  </si>
  <si>
    <t xml:space="preserve">    Call List_procs_in_Module</t>
  </si>
  <si>
    <t xml:space="preserve">        Sub List_procs_in_Module()</t>
  </si>
  <si>
    <t xml:space="preserve">        Dim AlphaTop As Integer</t>
  </si>
  <si>
    <t xml:space="preserve">        Dim AlphaBottom As Integer</t>
  </si>
  <si>
    <t xml:space="preserve">        Dim FindString As String</t>
  </si>
  <si>
    <t xml:space="preserve">        Dim Rng As Range</t>
  </si>
  <si>
    <t xml:space="preserve">        Dim ModBottom As Integer</t>
  </si>
  <si>
    <t xml:space="preserve">        AlphaTop = Sheets("Macrolist").Range("P1").Value</t>
  </si>
  <si>
    <t xml:space="preserve">        AlphaBottom = Sheets("Macrolist").Range("P2").Value</t>
  </si>
  <si>
    <t xml:space="preserve">        ModBottom = Sheets("Imported Module").Range("C1").Value</t>
  </si>
  <si>
    <t xml:space="preserve">    FindString = "Attribute VB_Name ="</t>
  </si>
  <si>
    <t xml:space="preserve">            For i = 1 To ModBottom</t>
  </si>
  <si>
    <t xml:space="preserve">            x = InStr(1, Sheets("Imported Module").Range("A" &amp; i), FindString)</t>
  </si>
  <si>
    <t xml:space="preserve">            If x &gt; 0 Then Exit For</t>
  </si>
  <si>
    <t xml:space="preserve">            ModNmLn = Sheets("Imported Module").Range("a" &amp; i).Value</t>
  </si>
  <si>
    <t xml:space="preserve">            LineLength = Len(ModNmLn)</t>
  </si>
  <si>
    <t xml:space="preserve">                ModNameStart = InStr(1, ModNmLn, "=")</t>
  </si>
  <si>
    <t xml:space="preserve">             ModuleName = Mid(ModNmLn, (ModNameStart + 3), (LineLength - ModNameStart - 3))</t>
  </si>
  <si>
    <t xml:space="preserve">             'MsgBox ("Mod Name  ") &amp; ModuleName</t>
  </si>
  <si>
    <t xml:space="preserve">             GetAllSubs_Funcs_inModule (ModuleName)</t>
  </si>
  <si>
    <t xml:space="preserve">             Call SubandFuncCalls</t>
  </si>
  <si>
    <t xml:space="preserve">             '!!!!!!!!!!!!!!!!!!!!!!!!!!!!!!!!!!!!!!!!!!!!!!!!!!!!!!!!!!!!!!!!!!!!!!!!!!!!!!!!!!!!!!!!!!!!</t>
  </si>
  <si>
    <t xml:space="preserve">        'Adapted from code posted by www.siddharthrout.com/2011/07/14/find-and-findnext-in-excel-vba/</t>
  </si>
  <si>
    <t xml:space="preserve">        '!!!!!!!!!!!!!!!!!!!!!!!!!!!!!!!!!!!!!!!!!!!!!!!!!!!!!!!!!!!!!!!!!!!!!!!!!!!!!!!!!!!!!!!!!!!!</t>
  </si>
  <si>
    <t xml:space="preserve">        'Copies all Subs and Function details for a named Module to AE1... on FlowChart_Steps</t>
  </si>
  <si>
    <t xml:space="preserve">        '!!!!!!!!!!!!!!!!!!!!!!!!!!!!!!!!!!!!!!!!!!!!!!!!!!!!!!!!!!!!!!!!!!!!!!!!!!!!!!!!!!!!!!!!!!!</t>
  </si>
  <si>
    <t xml:space="preserve">        Function GetAllSubs_Funcs_inModule(ModNm As String)</t>
  </si>
  <si>
    <t xml:space="preserve">    Dim oRange As Range</t>
  </si>
  <si>
    <t xml:space="preserve">    Dim aCell As Range</t>
  </si>
  <si>
    <t xml:space="preserve">    Dim bCell As Range</t>
  </si>
  <si>
    <t xml:space="preserve">    Dim ws As Worksheet</t>
  </si>
  <si>
    <t xml:space="preserve">    Dim SearchString As String</t>
  </si>
  <si>
    <t xml:space="preserve">    Dim FoundAt As String</t>
  </si>
  <si>
    <t xml:space="preserve">    Dim AlphaStart As Integer</t>
  </si>
  <si>
    <t xml:space="preserve">    Dim AlphaEnd As Integer</t>
  </si>
  <si>
    <t xml:space="preserve">    Dim StartCell As String</t>
  </si>
  <si>
    <t xml:space="preserve">    Dim CelRow As Integer</t>
  </si>
  <si>
    <t xml:space="preserve">    Dim CRow As Integer</t>
  </si>
  <si>
    <t xml:space="preserve">    Dim i As Integer</t>
  </si>
  <si>
    <t xml:space="preserve">    Dim j As Integer</t>
  </si>
  <si>
    <t xml:space="preserve">    Dim LastRow As Integer</t>
  </si>
  <si>
    <t xml:space="preserve">    Dim lenModNm As Integer</t>
  </si>
  <si>
    <t xml:space="preserve">    Dim FrstFind As Integer</t>
  </si>
  <si>
    <t xml:space="preserve">    Dim LRng As Range</t>
  </si>
  <si>
    <t xml:space="preserve">    'On Error GoTo Whoa</t>
  </si>
  <si>
    <t xml:space="preserve">  </t>
  </si>
  <si>
    <t xml:space="preserve">    SearchString = ModNm</t>
  </si>
  <si>
    <t xml:space="preserve">    lenModNm = Len(ModNm)</t>
  </si>
  <si>
    <t xml:space="preserve">   ' SearchString = Right(ModNm, (lenModNm - 1))</t>
  </si>
  <si>
    <t xml:space="preserve">    StartCell = "F" &amp; AlphaStart</t>
  </si>
  <si>
    <t xml:space="preserve">    Set ws = Worksheets("MacroList")</t>
  </si>
  <si>
    <t xml:space="preserve">    Set oRange = ws.Range("A" &amp; AlphaStart &amp; ":H" &amp; AlphaEnd)</t>
  </si>
  <si>
    <t xml:space="preserve">    'Clear old data</t>
  </si>
  <si>
    <t xml:space="preserve">    'LastRow = Sheets("SubRoutine Map").Range("A1").End(xlDown).Row</t>
  </si>
  <si>
    <t xml:space="preserve">    Sheets("Subroutine Map").Range("A:AL").ClearContents</t>
  </si>
  <si>
    <t xml:space="preserve">    Set aCell = oRange.Find(What:=SearchString, after:=Range(StartCell), LookIn:=xlValues, _</t>
  </si>
  <si>
    <t xml:space="preserve">                LookAt:=xlWhole, SearchOrder:=xlByRows, SearchDirection:=xlNext, _</t>
  </si>
  <si>
    <t xml:space="preserve">                MatchCase:=False, SearchFormat:=False)</t>
  </si>
  <si>
    <t xml:space="preserve">    If Not aCell Is Nothing Then</t>
  </si>
  <si>
    <t xml:space="preserve">        CelRow = aCell.Row</t>
  </si>
  <si>
    <t xml:space="preserve">        Set bCell = aCell</t>
  </si>
  <si>
    <t xml:space="preserve">        Sheets("Subroutine Map").Range("A3").Value = aCell.Row</t>
  </si>
  <si>
    <t xml:space="preserve">        FrstFind = Sheets("Subroutine Map").Range("A3").Value</t>
  </si>
  <si>
    <t xml:space="preserve">        i = 1</t>
  </si>
  <si>
    <t xml:space="preserve">        Do</t>
  </si>
  <si>
    <t xml:space="preserve">            Set aCell = oRange.FindNext(after:=aCell)</t>
  </si>
  <si>
    <t xml:space="preserve">            If Not aCell Is Nothing Then</t>
  </si>
  <si>
    <t xml:space="preserve">            If aCell.Row &lt; FrstFind Or aCell.Row = FrstFind Then Exit Do</t>
  </si>
  <si>
    <t xml:space="preserve">            Sheets("Subroutine Map").Range("A3").Offset(i, 0).Value = aCell.Row</t>
  </si>
  <si>
    <t xml:space="preserve">                If aCell.Address = bCell.Address Then Exit Do</t>
  </si>
  <si>
    <t xml:space="preserve">                FoundAt = FoundAt &amp; ", " &amp; aCell.Address</t>
  </si>
  <si>
    <t xml:space="preserve">                Exit Do</t>
  </si>
  <si>
    <t xml:space="preserve">            i = i + 1</t>
  </si>
  <si>
    <t xml:space="preserve">        Loop</t>
  </si>
  <si>
    <t xml:space="preserve">        MsgBox SearchString &amp; " not Found"</t>
  </si>
  <si>
    <t xml:space="preserve">        Exit Function</t>
  </si>
  <si>
    <t xml:space="preserve">    ' Set columns on Subroutine map</t>
  </si>
  <si>
    <t xml:space="preserve">    Sheets("Subroutine Map").Range("A1").Value = "Current Module   " &amp; ModNm</t>
  </si>
  <si>
    <t xml:space="preserve">     Sheets("Subroutine Map").Range("A2").Value = "Sub or Function"</t>
  </si>
  <si>
    <t xml:space="preserve">     Sheets("Subroutine Map").Range("D2").Value = "Starts Module Line#"</t>
  </si>
  <si>
    <t xml:space="preserve">     Sheets("Subroutine Map").Range("E2").Value = "Sub/Fn Length"</t>
  </si>
  <si>
    <t xml:space="preserve">     'Sheets("Subroutine Map").Range("F1").Value = "Current Module"</t>
  </si>
  <si>
    <t xml:space="preserve">     Sheets("Subroutine Map").Range("G2").Value = "Proc Type"</t>
  </si>
  <si>
    <t xml:space="preserve">     Sheets("Subroutine Map").Range("A1").Font.Size = 16</t>
  </si>
  <si>
    <t xml:space="preserve">     Sheets("Subroutine Map").Range("A1").Font.Bold = True</t>
  </si>
  <si>
    <t xml:space="preserve">     Sheets("Subroutine Map").Range("A2:G2").Font.Size = 14</t>
  </si>
  <si>
    <t xml:space="preserve">     Sheets("Subroutine Map").Range("A2:G2").Font.Bold = True</t>
  </si>
  <si>
    <t xml:space="preserve">     Sheets("Subroutine Map").Range("A2:G2").Font.Underline = xlUnderlineStyleSingle</t>
  </si>
  <si>
    <t xml:space="preserve">     Sheets("Subroutine Map").Range("A2:G" &amp; i + 3).Font.Color = RGB(0, 0, 0)</t>
  </si>
  <si>
    <t xml:space="preserve">     Sheets("Subroutine Map").Range("A3:G" &amp; i + 3).Font.Underline = xlUnderlineStyleNone</t>
  </si>
  <si>
    <t xml:space="preserve">    'copy Subs and Functions for this module to FlowChart_Steps</t>
  </si>
  <si>
    <t xml:space="preserve">     For j = 1 To i</t>
  </si>
  <si>
    <t xml:space="preserve">     CRow = Sheets("Subroutine Map").Range("A3").Offset(j - 1, 0).Value</t>
  </si>
  <si>
    <t xml:space="preserve">     Sheets("MacroList").Range("A" &amp; CRow &amp; ":G" &amp; CRow).Copy</t>
  </si>
  <si>
    <t xml:space="preserve">     Sheets("Subroutine Map").Range("A3").Offset(j - 1, 0).PasteSpecial xlPasteValues</t>
  </si>
  <si>
    <t xml:space="preserve">    Application.CutCopyMode = False</t>
  </si>
  <si>
    <t xml:space="preserve">    Next j</t>
  </si>
  <si>
    <t xml:space="preserve">    'Format Subroutine MapSheet</t>
  </si>
  <si>
    <t xml:space="preserve">        Sheets("Subroutine Map").Range("B:B").ColumnWidth = 5</t>
  </si>
  <si>
    <t xml:space="preserve">        Sheets("Subroutine Map").Range("C:C").ColumnWidth = 5</t>
  </si>
  <si>
    <t xml:space="preserve">        Sheets("Subroutine Map").Range("D:D").ColumnWidth = 30</t>
  </si>
  <si>
    <t xml:space="preserve">        Sheets("Subroutine Map").Range("F:F").ColumnWidth = lenModNm + 5</t>
  </si>
  <si>
    <t xml:space="preserve">        Sheets("Subroutine Map").Range("A2:G" &amp; i + 3).Font.Size = 12</t>
  </si>
  <si>
    <t xml:space="preserve">        Sheets("Subroutine Map").Range("F2:F" &amp; i + 3).Delete Shift:=xlToLeft</t>
  </si>
  <si>
    <t xml:space="preserve">    'MsgBox "The Search String has been found these locations: " &amp; FoundAt</t>
  </si>
  <si>
    <t xml:space="preserve">    'Create Lookup Ranges</t>
  </si>
  <si>
    <t xml:space="preserve">     Set LRng = Sheets("Subroutine Map").Range("D3")</t>
  </si>
  <si>
    <t xml:space="preserve">     For j = 0 To i</t>
  </si>
  <si>
    <t xml:space="preserve">     LRng.Offset(j, 20).Value = LRng.Offset(j, 0).Value + 1</t>
  </si>
  <si>
    <t xml:space="preserve">     LRng.Offset(j, 21).Value = LRng.Offset(j, 0).Value + LRng.Offset(j, 1).Value</t>
  </si>
  <si>
    <t xml:space="preserve">     Next j</t>
  </si>
  <si>
    <t xml:space="preserve">     'Record number of procs on sheet (used by Fn FindCallingProc)</t>
  </si>
  <si>
    <t xml:space="preserve">     Sheets("Subroutine Map").Range("Y1") = i</t>
  </si>
  <si>
    <t xml:space="preserve">    Exit Function</t>
  </si>
  <si>
    <t>Whoa:</t>
  </si>
  <si>
    <t xml:space="preserve">    MsgBox Err.Description</t>
  </si>
  <si>
    <t xml:space="preserve">        Sub SubandFuncCalls()</t>
  </si>
  <si>
    <t xml:space="preserve">        Dim SubId As String</t>
  </si>
  <si>
    <t xml:space="preserve">        Dim IsSub As String</t>
  </si>
  <si>
    <t xml:space="preserve">        Dim JustSubName As String</t>
  </si>
  <si>
    <t xml:space="preserve">            OutputLine = 1</t>
  </si>
  <si>
    <t xml:space="preserve">             For i = 1 To BottomofMod</t>
  </si>
  <si>
    <t xml:space="preserve">          LineContents = Trim(Sheets("Imported Module").Range("A" &amp; i).text)</t>
  </si>
  <si>
    <t xml:space="preserve">          'MsgBox ("") &amp; LineContents</t>
  </si>
  <si>
    <t xml:space="preserve">          'Handle in line comments. First check if whole line is commented out</t>
  </si>
  <si>
    <t xml:space="preserve">          ' done by checking line prefix. If found kill line so itis not processed.</t>
  </si>
  <si>
    <t xml:space="preserve">          'If not check for comments later in line if found eliminate comment section.</t>
  </si>
  <si>
    <t xml:space="preserve">            If Sheets("Imported Module").Range("A" &amp; i).PrefixCharacter &lt;&gt; Chr(39) Then</t>
  </si>
  <si>
    <t xml:space="preserve">                FindComment = InStr(1, LineContents, Chr(39))</t>
  </si>
  <si>
    <t xml:space="preserve">               ' Debug.Print LineContents &amp; "  Loc of '   " &amp; FindComment &amp; "  Line = '' " &amp; i</t>
  </si>
  <si>
    <t xml:space="preserve">                If FindComment &gt; 0 Then</t>
  </si>
  <si>
    <t xml:space="preserve">                ' Debug.Print LineContents &amp; " i=  " &amp; i</t>
  </si>
  <si>
    <t xml:space="preserve">                 LeftofComm = Left(LineContents, FindComment)</t>
  </si>
  <si>
    <t xml:space="preserve">                 LineContents = LeftofComm</t>
  </si>
  <si>
    <t xml:space="preserve">            'Debug.Print "Found leading '  in line =  " &amp; i</t>
  </si>
  <si>
    <t xml:space="preserve">            'eliminate Comment Line</t>
  </si>
  <si>
    <t xml:space="preserve">            LineContents = ""</t>
  </si>
  <si>
    <t xml:space="preserve">             If InStr(1, Trim(LineContents), "End Sub") &gt; 0 Then</t>
  </si>
  <si>
    <t xml:space="preserve">             If InStr(1, Trim(LineContents), "End Function") &gt; 0 Then</t>
  </si>
  <si>
    <t xml:space="preserve">             'MsgBox ("EOF")</t>
  </si>
  <si>
    <t xml:space="preserve">               ' Procrows = Sheets("Subroutine Map").Range("Y1")</t>
  </si>
  <si>
    <t xml:space="preserve">                'OutputLine = Procrows + 5</t>
  </si>
  <si>
    <t xml:space="preserve">                 lenModNm = Len(Sheets("Subroutine Map").Range("A1"))</t>
  </si>
  <si>
    <t xml:space="preserve">                 ModuleName = Right(Sheets("Subroutine Map").Range("A1"), (lenModNm - 14))</t>
  </si>
  <si>
    <t xml:space="preserve">                 SubId = IsSubCall1(LineContents)</t>
  </si>
  <si>
    <t xml:space="preserve">                 Debug.Print i &amp; "   " &amp; SubId</t>
  </si>
  <si>
    <t xml:space="preserve">                If Len(SubId) &gt; 1 Then</t>
  </si>
  <si>
    <t xml:space="preserve">               ' DataforSheetAry(OutputLine, 1) = ModuleName</t>
  </si>
  <si>
    <t xml:space="preserve">                 FindCallingProc (i)</t>
  </si>
  <si>
    <t xml:space="preserve">                JustSubName = Right(Trim(LineContents), LineLength - KillCall)</t>
  </si>
  <si>
    <t xml:space="preserve">                 DataforSheetAry(OutputLine, 1) = JustSubName</t>
  </si>
  <si>
    <t xml:space="preserve">             IsFunc = IsFuncCall1(LineContents, i)</t>
  </si>
  <si>
    <t xml:space="preserve">             DataforSheetAry(OutputLine, 1) = IsFunc</t>
  </si>
  <si>
    <t xml:space="preserve">            ' DataforSheetAry(OutputLine, 4) = IsFunc</t>
  </si>
  <si>
    <t xml:space="preserve">            ' DataforSheetAry(OutputLine, 5) = "Line=  " &amp; i</t>
  </si>
  <si>
    <t xml:space="preserve">    Next i</t>
  </si>
  <si>
    <t xml:space="preserve">         Procrows = Sheets("Subroutine Map").Range("Y1")</t>
  </si>
  <si>
    <t xml:space="preserve">         Rowstart = Procrows + 5</t>
  </si>
  <si>
    <t xml:space="preserve">         RowEnd = Rowstart + OutputLine</t>
  </si>
  <si>
    <t xml:space="preserve">         For j = 1 To OutputLine</t>
  </si>
  <si>
    <t xml:space="preserve">         addr = Cells(j + Rowstart, k).Address</t>
  </si>
  <si>
    <t xml:space="preserve">         Sheets("Subroutine Map").Range(addr) = DataforSheetAry(j, k)</t>
  </si>
  <si>
    <t xml:space="preserve">         Next k</t>
  </si>
  <si>
    <t xml:space="preserve">        ' Call Format_Sub_Map</t>
  </si>
  <si>
    <t xml:space="preserve">        Function FindCallingProc(LnNum As Integer) As String</t>
  </si>
  <si>
    <t xml:space="preserve">        Dim NumProcs As Integer</t>
  </si>
  <si>
    <t xml:space="preserve">        Set ws = Sheets("Subroutine Map")</t>
  </si>
  <si>
    <t xml:space="preserve">        NumProcs = ws.Range("Y1")</t>
  </si>
  <si>
    <t xml:space="preserve">         For i = 0 To NumProcs</t>
  </si>
  <si>
    <t xml:space="preserve">           If LnNum &gt; ws.Range("X3").Offset(i, 0).Value And LnNum &lt; ws.Range("Y3").Offset(i, 0).Value Then</t>
  </si>
  <si>
    <t xml:space="preserve">           FindCallingProc = ws.Range("A3").Offset(i, 0).Value</t>
  </si>
  <si>
    <t xml:space="preserve">           Exit For</t>
  </si>
  <si>
    <t xml:space="preserve">            FindCallingProc = "Nothing"</t>
  </si>
  <si>
    <t xml:space="preserve">          Next i</t>
  </si>
  <si>
    <t xml:space="preserve">        Function IsSubCall1(LineContents As String) As String</t>
  </si>
  <si>
    <t xml:space="preserve">    'or without call find what might be a subroutine name and do a Find</t>
  </si>
  <si>
    <t xml:space="preserve">    'On the Alphabetic list of macros in AlphaList sheet</t>
  </si>
  <si>
    <t xml:space="preserve">    '</t>
  </si>
  <si>
    <t xml:space="preserve">    Dim OpnParen As Integer</t>
  </si>
  <si>
    <t xml:space="preserve">    Dim FrstSpc As Integer</t>
  </si>
  <si>
    <t xml:space="preserve">    LineContents = Trim(LineContents)</t>
  </si>
  <si>
    <t xml:space="preserve">    x = Len(LineContents)</t>
  </si>
  <si>
    <t xml:space="preserve">    OpnParen = InStr(2, LineContents, "(")</t>
  </si>
  <si>
    <t xml:space="preserve">    FrstSpc = InStr(2, LineContents, " ")</t>
  </si>
  <si>
    <t xml:space="preserve">    If InStr(1, LineContents, "Call ", vbTextCompare) = 1 Then</t>
  </si>
  <si>
    <t xml:space="preserve">        If OpnParen = 0 Then</t>
  </si>
  <si>
    <t xml:space="preserve">        IsSubCall1 = Right(LineContents, (x - 5))</t>
  </si>
  <si>
    <t xml:space="preserve">        IsSubCall1 = Mid(LineContents, 6, (x - openparen))</t>
  </si>
  <si>
    <t xml:space="preserve">       SearchString = Mid(LineContents, 1, (x - FrstSpc))</t>
  </si>
  <si>
    <t xml:space="preserve">        Set aCell = oRange.Find(What:=SearchString, after:=Range(StartCell), LookIn:=xlValues, _</t>
  </si>
  <si>
    <t xml:space="preserve">     ' Debug.Print LineContents &amp; "     " &amp; IsSubCall1</t>
  </si>
  <si>
    <t xml:space="preserve">          Function IsFuncCall1(LineContents As String, k As Integer) As String</t>
  </si>
  <si>
    <t xml:space="preserve">     LineContents = Trim(LineContents)</t>
  </si>
  <si>
    <t xml:space="preserve">        'Debug.Print k</t>
  </si>
  <si>
    <t xml:space="preserve">        'If k &gt; 320 Then</t>
  </si>
  <si>
    <t xml:space="preserve">        'Debug.Print "Func Chk  LC=  " &amp; LineContents</t>
  </si>
  <si>
    <t xml:space="preserve">        'Else</t>
  </si>
  <si>
    <t xml:space="preserve">        'End If</t>
  </si>
  <si>
    <t xml:space="preserve">    If InStr(1, LineContents, "Function") = 0 Then</t>
  </si>
  <si>
    <t xml:space="preserve">             funcnm = " " &amp; Sheets("Function List").Range("A" &amp; LI).Value</t>
  </si>
  <si>
    <t xml:space="preserve">            'Very short (one letter) function name can lead to false positives to</t>
  </si>
  <si>
    <t xml:space="preserve">            'eliminate false positives. I check for a "(" directly after the func</t>
  </si>
  <si>
    <t xml:space="preserve">            'or a space after the function .</t>
  </si>
  <si>
    <t xml:space="preserve">               SendBack = funcnm</t>
  </si>
  <si>
    <t xml:space="preserve">               'If  Open Paren after function the the line contains a function call</t>
  </si>
  <si>
    <t xml:space="preserve">               'if the func fits " " &amp; Func &amp; " " the line contains function call</t>
  </si>
  <si>
    <t xml:space="preserve">               'If LI = 6 Then</t>
  </si>
  <si>
    <t xml:space="preserve">               'MsgBox ("") &amp; "Line = " &amp; LineContents &amp; " LI   " &amp; LI &amp; " FuncNm  " &amp; funcnm</t>
  </si>
  <si>
    <t xml:space="preserve">       Else</t>
  </si>
  <si>
    <t xml:space="preserve">        'Debug.Print k &amp; "     " &amp; LineContents &amp; "    " &amp; SendBack</t>
  </si>
  <si>
    <t>Lines = 684</t>
  </si>
  <si>
    <t>$A$216:$H$305</t>
  </si>
  <si>
    <t xml:space="preserve">                DataforSheetAry(OutputLine, 5) = FindCallingProc(i)</t>
  </si>
  <si>
    <t xml:space="preserve">                DataforSheetAry(OutputLine, 4) = "Calling Line# = " &amp; i</t>
  </si>
  <si>
    <t xml:space="preserve">             DataforSheetAry(OutputLine, 5) = FindCallingProc(i)</t>
  </si>
  <si>
    <t xml:space="preserve">             DataforSheetAry(OutputLine, 4) = "Calling Line# =  " &amp; i</t>
  </si>
  <si>
    <t xml:space="preserve">         For k = 1 To 5</t>
  </si>
  <si>
    <t xml:space="preserve">      If InStr(1, LineContents, "=") = 0 Then</t>
  </si>
  <si>
    <t xml:space="preserve">       'get possible Sub Name and do a find in Macrolist</t>
  </si>
  <si>
    <t xml:space="preserve">            IsSubCall1 = SearchString</t>
  </si>
  <si>
    <t xml:space="preserve">            IsSubCall1 = ""</t>
  </si>
  <si>
    <t xml:space="preserve">       IsSubCall1 = ""</t>
  </si>
  <si>
    <t xml:space="preserve">       End If</t>
  </si>
  <si>
    <t xml:space="preserve">             testforfunc = InStr(1, LineContents, funcnm)</t>
  </si>
  <si>
    <t xml:space="preserve">            If testforfunc &gt; 0 Then</t>
  </si>
  <si>
    <t xml:space="preserve">            IsFunc = 0</t>
  </si>
  <si>
    <t xml:space="preserve">            lenfn = Len(funcnm)</t>
  </si>
  <si>
    <t xml:space="preserve">            FrstSpc = InStr(testforfunc, LineContents, " ")</t>
  </si>
  <si>
    <t xml:space="preserve">            x = Len(LineContents)</t>
  </si>
  <si>
    <t xml:space="preserve">            Nextparen = InStr(testforfunc + 1, LineContents, "(")</t>
  </si>
  <si>
    <t xml:space="preserve">            If lenfn + testforfunc = FrstSpc Then IsFunc = 1</t>
  </si>
  <si>
    <t xml:space="preserve">            If lenfn + testforfunc = Nextparen Then IsFunc = 1</t>
  </si>
  <si>
    <t xml:space="preserve">            If lenfn = x - testforfunc Then IsFunc = 1</t>
  </si>
  <si>
    <t xml:space="preserve">              ' If Nextparen &gt; testforfunc Then IsFunc = 1</t>
  </si>
  <si>
    <t xml:space="preserve">              ' If InStr(1, LineContents, funcnm &amp; " ") &gt; 0 Then IsFunc = 1</t>
  </si>
  <si>
    <t xml:space="preserve">               'Debug.Print "LC = " &amp; LineContents &amp; " L#   " &amp; k &amp; " func loc  " &amp; testforfunc, SendBack</t>
  </si>
  <si>
    <t xml:space="preserve">               'if line has a = after the func name it's not a func call</t>
  </si>
  <si>
    <t xml:space="preserve">               If InStr(1, LineContents, "=") &gt; testforfunc Then IsFunc = 0</t>
  </si>
  <si>
    <t>Apears all working on Listing all Procs in a Module</t>
  </si>
  <si>
    <t>then listing where each Proc is called in the Module</t>
  </si>
  <si>
    <t>V2.0</t>
  </si>
  <si>
    <t>Next work on formatting prinout of module</t>
  </si>
  <si>
    <t>nterior</t>
  </si>
  <si>
    <t>font</t>
  </si>
  <si>
    <t>HTML</t>
  </si>
  <si>
    <t>bgcolor=</t>
  </si>
  <si>
    <t>Red&lt;</t>
  </si>
  <si>
    <t>Green</t>
  </si>
  <si>
    <t>Blue</t>
  </si>
  <si>
    <t>Color</t>
  </si>
  <si>
    <t>Black</t>
  </si>
  <si>
    <t>[Color 1]</t>
  </si>
  <si>
    <t>#000000</t>
  </si>
  <si>
    <t>[Black]</t>
  </si>
  <si>
    <t>White</t>
  </si>
  <si>
    <t>[Color 2]</t>
  </si>
  <si>
    <t>#FFFFFF</t>
  </si>
  <si>
    <t>[White]</t>
  </si>
  <si>
    <t>Red</t>
  </si>
  <si>
    <t>[Color 3]</t>
  </si>
  <si>
    <t>#FF0000</t>
  </si>
  <si>
    <t>[Red]</t>
  </si>
  <si>
    <t>[Color 4]</t>
  </si>
  <si>
    <t>#00FF00</t>
  </si>
  <si>
    <t>[Green]</t>
  </si>
  <si>
    <t>[Color 5]</t>
  </si>
  <si>
    <t>#0000FF</t>
  </si>
  <si>
    <t>[Blue]</t>
  </si>
  <si>
    <t>Yellow</t>
  </si>
  <si>
    <t>[Color 6]</t>
  </si>
  <si>
    <t>#FFFF00</t>
  </si>
  <si>
    <t>[Yellow]</t>
  </si>
  <si>
    <t>Magenta</t>
  </si>
  <si>
    <t>[Color 7]</t>
  </si>
  <si>
    <t>#FF00FF</t>
  </si>
  <si>
    <t>[Magenta]</t>
  </si>
  <si>
    <t>Cyan</t>
  </si>
  <si>
    <t>[Color 8]</t>
  </si>
  <si>
    <t>#00FFFF</t>
  </si>
  <si>
    <t>[Cyan]</t>
  </si>
  <si>
    <t>[Color 9]</t>
  </si>
  <si>
    <t>#800000</t>
  </si>
  <si>
    <t>[Color 10]</t>
  </si>
  <si>
    <t>#008000</t>
  </si>
  <si>
    <t>[Color 11]</t>
  </si>
  <si>
    <t>#000080</t>
  </si>
  <si>
    <t>[Color 12]</t>
  </si>
  <si>
    <t>#808000</t>
  </si>
  <si>
    <t>[Color 13]</t>
  </si>
  <si>
    <t>#800080</t>
  </si>
  <si>
    <t>[Color 14]</t>
  </si>
  <si>
    <t>#008080</t>
  </si>
  <si>
    <t>[Color 15]</t>
  </si>
  <si>
    <t>#C0C0C0</t>
  </si>
  <si>
    <t>[Color 16]</t>
  </si>
  <si>
    <t>#808080</t>
  </si>
  <si>
    <t>[Color 17]</t>
  </si>
  <si>
    <t>#9999FF</t>
  </si>
  <si>
    <t>[Color 18]</t>
  </si>
  <si>
    <t>#993366</t>
  </si>
  <si>
    <t>[Color 19]</t>
  </si>
  <si>
    <t>#FFFFCC</t>
  </si>
  <si>
    <t>[Color 20]</t>
  </si>
  <si>
    <t>#CCFFFF</t>
  </si>
  <si>
    <t>[Color 21]</t>
  </si>
  <si>
    <t>#660066</t>
  </si>
  <si>
    <t>[Color 22]</t>
  </si>
  <si>
    <t>#FF8080</t>
  </si>
  <si>
    <t>[Color 23]</t>
  </si>
  <si>
    <t>#0066CC</t>
  </si>
  <si>
    <t>[Color 24]</t>
  </si>
  <si>
    <t>#CCCCFF</t>
  </si>
  <si>
    <t>[Color 25]</t>
  </si>
  <si>
    <t>[Color 26]</t>
  </si>
  <si>
    <t>[Color 27]</t>
  </si>
  <si>
    <t>[Color 28]</t>
  </si>
  <si>
    <t>[Color 29]</t>
  </si>
  <si>
    <t>[Color 30]</t>
  </si>
  <si>
    <t>[Color 31]</t>
  </si>
  <si>
    <t>[Color 32]</t>
  </si>
  <si>
    <t>[Color 33]</t>
  </si>
  <si>
    <t>#00CCFF</t>
  </si>
  <si>
    <t>[Color 34]</t>
  </si>
  <si>
    <t>[Color 35]</t>
  </si>
  <si>
    <t>#CCFFCC</t>
  </si>
  <si>
    <t>[Color 36]</t>
  </si>
  <si>
    <t>#FFFF99</t>
  </si>
  <si>
    <t>[Color 37]</t>
  </si>
  <si>
    <t>#99CCFF</t>
  </si>
  <si>
    <t>[Color 38]</t>
  </si>
  <si>
    <t>#FF99CC</t>
  </si>
  <si>
    <t>[Color 39]</t>
  </si>
  <si>
    <t>#CC99FF</t>
  </si>
  <si>
    <t>[Color 40]</t>
  </si>
  <si>
    <t>#FFCC99</t>
  </si>
  <si>
    <t>[Color 41]</t>
  </si>
  <si>
    <t>#3366FF</t>
  </si>
  <si>
    <t>[Color 42]</t>
  </si>
  <si>
    <t>#33CCCC</t>
  </si>
  <si>
    <t>[Color 43]</t>
  </si>
  <si>
    <t>#99CC00</t>
  </si>
  <si>
    <t>[Color 44]</t>
  </si>
  <si>
    <t>#FFCC00</t>
  </si>
  <si>
    <t>[Color 45]</t>
  </si>
  <si>
    <t>#FF9900</t>
  </si>
  <si>
    <t>[Color 46]</t>
  </si>
  <si>
    <t>#FF6600</t>
  </si>
  <si>
    <t>[Color 47]</t>
  </si>
  <si>
    <t>#666699</t>
  </si>
  <si>
    <t>[Color 48]</t>
  </si>
  <si>
    <t>#969696</t>
  </si>
  <si>
    <t>[Color 49]</t>
  </si>
  <si>
    <t>#003366</t>
  </si>
  <si>
    <t>[Color 50]</t>
  </si>
  <si>
    <t>#339966</t>
  </si>
  <si>
    <t>[Color 51]</t>
  </si>
  <si>
    <t>#003300</t>
  </si>
  <si>
    <t>[Color 52]</t>
  </si>
  <si>
    <t>#333300</t>
  </si>
  <si>
    <t>[Color 53]</t>
  </si>
  <si>
    <t>#993300</t>
  </si>
  <si>
    <t>[Color 54]</t>
  </si>
  <si>
    <t>[Color 55]</t>
  </si>
  <si>
    <t>#333399</t>
  </si>
  <si>
    <t>[Color 56]</t>
  </si>
  <si>
    <t>#333333</t>
  </si>
  <si>
    <t>Excel only recognizes names for Color 1 through 8 (Black, White, R</t>
  </si>
  <si>
    <t>vbBlack</t>
  </si>
  <si>
    <t>vbRed</t>
  </si>
  <si>
    <t>vbGreen</t>
  </si>
  <si>
    <t>vbBlue</t>
  </si>
  <si>
    <t>vbYellow</t>
  </si>
  <si>
    <t>vbMagenta</t>
  </si>
  <si>
    <t>vbCyan</t>
  </si>
  <si>
    <t>vb[Color 9]</t>
  </si>
  <si>
    <t>vb[Color 10]</t>
  </si>
  <si>
    <t>vb[Color 11]</t>
  </si>
  <si>
    <t>vb[Color 12]</t>
  </si>
  <si>
    <t>vb[Color 13]</t>
  </si>
  <si>
    <t>vb[Color 14]</t>
  </si>
  <si>
    <t>vb[Color 16]</t>
  </si>
  <si>
    <t>vb[Color 17]</t>
  </si>
  <si>
    <t>VbWhite</t>
  </si>
  <si>
    <t>Vb[Color 15]</t>
  </si>
  <si>
    <t>vb[Color 18]</t>
  </si>
  <si>
    <t>Vb[Color 19]</t>
  </si>
  <si>
    <t>Vb[Color 20]</t>
  </si>
  <si>
    <t>vb[Color 21]</t>
  </si>
  <si>
    <t>vb[Color 22]</t>
  </si>
  <si>
    <t>vb[Color 23]</t>
  </si>
  <si>
    <t>Vb[Color 24]</t>
  </si>
  <si>
    <t>vb[Color 25]</t>
  </si>
  <si>
    <t>vb[Color 26]</t>
  </si>
  <si>
    <t>vb[Color 27]</t>
  </si>
  <si>
    <t>vb[Color 28]</t>
  </si>
  <si>
    <t>vb[Color 29]</t>
  </si>
  <si>
    <t>vb[Color 30]</t>
  </si>
  <si>
    <t>vb[Color 31]</t>
  </si>
  <si>
    <t>vb[Color 32]</t>
  </si>
  <si>
    <t>vb[Color 33]</t>
  </si>
  <si>
    <t>Vb[Color 34]</t>
  </si>
  <si>
    <t>Vb[Color 35]</t>
  </si>
  <si>
    <t>vb[Color 36]</t>
  </si>
  <si>
    <t>vb[Color 37]</t>
  </si>
  <si>
    <t>vb[Color 38]</t>
  </si>
  <si>
    <t>vb[Color 39]</t>
  </si>
  <si>
    <t>vb[Color 40]</t>
  </si>
  <si>
    <t>vb[Color 41]</t>
  </si>
  <si>
    <t>vb[Color 42]</t>
  </si>
  <si>
    <t>vb[Color 43]</t>
  </si>
  <si>
    <t>vb[Color 44]</t>
  </si>
  <si>
    <t>vb[Color 45]</t>
  </si>
  <si>
    <t>vb[Color 46]</t>
  </si>
  <si>
    <t>vb[Color 47]</t>
  </si>
  <si>
    <t>vb[Color 48]</t>
  </si>
  <si>
    <t>vb[Color 49]</t>
  </si>
  <si>
    <t>vb[Color 50]</t>
  </si>
  <si>
    <t>vb[Color 51]</t>
  </si>
  <si>
    <t>vb[Color 52]</t>
  </si>
  <si>
    <t>vb[Color 53]</t>
  </si>
  <si>
    <t>vb[Color 54]</t>
  </si>
  <si>
    <t>vb[Color 55]</t>
  </si>
  <si>
    <t>vb[Color 56]</t>
  </si>
  <si>
    <t>Code</t>
  </si>
  <si>
    <t>ForNext</t>
  </si>
  <si>
    <t>Size</t>
  </si>
  <si>
    <t>Yes/No</t>
  </si>
  <si>
    <t>Bold</t>
  </si>
  <si>
    <t>UnderLine</t>
  </si>
  <si>
    <t>PrintPages</t>
  </si>
  <si>
    <t>Pg Nums</t>
  </si>
  <si>
    <t>Date,Time ect</t>
  </si>
  <si>
    <t>Y/N</t>
  </si>
  <si>
    <t>H/F</t>
  </si>
  <si>
    <t>Cb_ModSz</t>
  </si>
  <si>
    <t>Cb_ModColor</t>
  </si>
  <si>
    <t>Cb_SubSz</t>
  </si>
  <si>
    <t>Cb_SubColor</t>
  </si>
  <si>
    <t>ChkB_ModBold</t>
  </si>
  <si>
    <t>ChkB_SubBold</t>
  </si>
  <si>
    <t>Cb_FuncSz</t>
  </si>
  <si>
    <t>Cb_FuncColor</t>
  </si>
  <si>
    <t>ChkB_FuncBold</t>
  </si>
  <si>
    <t>Cb_CmtSz</t>
  </si>
  <si>
    <t>Cb_CmtColor</t>
  </si>
  <si>
    <t>ChkB_CmtBold</t>
  </si>
  <si>
    <t>Cb_CodeSz</t>
  </si>
  <si>
    <t>Cb_CodeColor</t>
  </si>
  <si>
    <t>ChkB_CodeBold</t>
  </si>
  <si>
    <t>Cb_IfYN</t>
  </si>
  <si>
    <t>Cb_LineNumsColor</t>
  </si>
  <si>
    <t>Cb_PgBrksYN</t>
  </si>
  <si>
    <t>Tb_PgsToPrint</t>
  </si>
  <si>
    <t>O2</t>
  </si>
  <si>
    <t>P2</t>
  </si>
  <si>
    <t>Q2</t>
  </si>
  <si>
    <t>O3</t>
  </si>
  <si>
    <t>P3</t>
  </si>
  <si>
    <t>Q3</t>
  </si>
  <si>
    <t>O4</t>
  </si>
  <si>
    <t>P4</t>
  </si>
  <si>
    <t>Q4</t>
  </si>
  <si>
    <t>O5</t>
  </si>
  <si>
    <t>P5</t>
  </si>
  <si>
    <t>Q5</t>
  </si>
  <si>
    <t>O6</t>
  </si>
  <si>
    <t>P6</t>
  </si>
  <si>
    <t>Q6</t>
  </si>
  <si>
    <t>Line Nums</t>
  </si>
  <si>
    <t>O12</t>
  </si>
  <si>
    <t>P12</t>
  </si>
  <si>
    <t>PB after Procedure</t>
  </si>
  <si>
    <t>O13</t>
  </si>
  <si>
    <t>O15</t>
  </si>
  <si>
    <t>O17</t>
  </si>
  <si>
    <t>P17</t>
  </si>
  <si>
    <t>Font Sizes</t>
  </si>
  <si>
    <t>Hdr/Footr</t>
  </si>
  <si>
    <t>Yes</t>
  </si>
  <si>
    <t>No</t>
  </si>
  <si>
    <t>Header</t>
  </si>
  <si>
    <t>Footer</t>
  </si>
  <si>
    <t>ComboBox reloading Flag</t>
  </si>
  <si>
    <t>Tb_LineNumsEvry</t>
  </si>
  <si>
    <t>ChkB_HdrFootr</t>
  </si>
  <si>
    <t>Cb_HdrFootrLoc</t>
  </si>
  <si>
    <t>P7</t>
  </si>
  <si>
    <t>Font to Print</t>
  </si>
  <si>
    <t>Cb_Print_Font</t>
  </si>
  <si>
    <t>O18</t>
  </si>
  <si>
    <t>XXXXXXXXXXXX</t>
  </si>
  <si>
    <t>Path = C:\Users\Jim Horan\Documents\My Documents\JimExcel\Flow Chart\</t>
  </si>
  <si>
    <t>C:\Users\Jim Horan\Documents\My Documents\JimExcel\Flow Chart\CurrComponents</t>
  </si>
  <si>
    <t xml:space="preserve">        Dim BasYes As Boolean  I 1</t>
  </si>
  <si>
    <t>Fonts</t>
  </si>
  <si>
    <t>CPL</t>
  </si>
  <si>
    <t>CPL /Bld</t>
  </si>
  <si>
    <t>Cambria</t>
  </si>
  <si>
    <t>Arial</t>
  </si>
  <si>
    <t>Gill Sans MT</t>
  </si>
  <si>
    <t>Tahoma</t>
  </si>
  <si>
    <t>Calibri(body)</t>
  </si>
  <si>
    <t>Indent</t>
  </si>
  <si>
    <t>Else</t>
  </si>
  <si>
    <t>End Select</t>
  </si>
  <si>
    <t>Next</t>
  </si>
  <si>
    <t>End With</t>
  </si>
  <si>
    <t>Sub or Function</t>
  </si>
  <si>
    <t>Starts Module Line#</t>
  </si>
  <si>
    <t>Sub/Fn Length</t>
  </si>
  <si>
    <t>Proc Type</t>
  </si>
  <si>
    <t>Called Procedure</t>
  </si>
  <si>
    <t>Calling Procedure</t>
  </si>
  <si>
    <t>Calling Line #</t>
  </si>
  <si>
    <t xml:space="preserve">adding print mod coding </t>
  </si>
  <si>
    <t>Print VB Componentsv1.1b</t>
  </si>
  <si>
    <t>Sub</t>
  </si>
  <si>
    <t>Func</t>
  </si>
  <si>
    <t>Cmt</t>
  </si>
  <si>
    <t>WorkBook = Print VB Components v1.1b.xlsm</t>
  </si>
  <si>
    <t>Date = 8/1/2016</t>
  </si>
  <si>
    <t>Time = 9:17:56 AM</t>
  </si>
  <si>
    <t>Loop</t>
  </si>
  <si>
    <t>Current Module   NewMapModule</t>
  </si>
  <si>
    <t>Blank</t>
  </si>
  <si>
    <t>EOSub</t>
  </si>
  <si>
    <t>EOFunc</t>
  </si>
  <si>
    <t>IfThen</t>
  </si>
  <si>
    <t>Q11</t>
  </si>
  <si>
    <t>Q8</t>
  </si>
  <si>
    <t>Do Loop</t>
  </si>
  <si>
    <t>&gt;</t>
  </si>
  <si>
    <t>IfThenOneLine</t>
  </si>
  <si>
    <t>EOIf</t>
  </si>
  <si>
    <t>&lt;</t>
  </si>
  <si>
    <t xml:space="preserve">Numbering and Looping work </t>
  </si>
  <si>
    <t>Cb_LoopColor</t>
  </si>
  <si>
    <t>If1Color</t>
  </si>
  <si>
    <t>If2Color</t>
  </si>
  <si>
    <t>If3Color</t>
  </si>
  <si>
    <t>If4Color</t>
  </si>
  <si>
    <t>Cb_If1Color</t>
  </si>
  <si>
    <t>Cb_If2Color</t>
  </si>
  <si>
    <t>Cb_If3Color</t>
  </si>
  <si>
    <t>Cb_If4Color</t>
  </si>
  <si>
    <t>P27</t>
  </si>
  <si>
    <t>P28</t>
  </si>
  <si>
    <t>P29</t>
  </si>
  <si>
    <t>P30</t>
  </si>
  <si>
    <t>If's and colors for loops and if's working</t>
  </si>
  <si>
    <t>Cb_LoopsYN</t>
  </si>
  <si>
    <t>Col width</t>
  </si>
  <si>
    <t>Orientation</t>
  </si>
  <si>
    <t>Portrait</t>
  </si>
  <si>
    <t>Window</t>
  </si>
  <si>
    <t xml:space="preserve">This prevent changes event going off </t>
  </si>
  <si>
    <t>when reloading Form could have just turned off events</t>
  </si>
  <si>
    <t>Cb_Orient</t>
  </si>
  <si>
    <t>O31</t>
  </si>
  <si>
    <t xml:space="preserve">automatically adjust Code column width based on Orientation </t>
  </si>
  <si>
    <t>and the number of Mapping columns.</t>
  </si>
  <si>
    <t>v2.1a</t>
  </si>
  <si>
    <t>Add code in ProcessData sub to deal with Public and Private Declarations</t>
  </si>
  <si>
    <t xml:space="preserve">Add code to determine what to print in SetUpForPrint Sub </t>
  </si>
  <si>
    <t>Both Subs in Module CreatePrintModSheet</t>
  </si>
  <si>
    <t xml:space="preserve">Kill print or not </t>
  </si>
  <si>
    <t xml:space="preserve">Kill </t>
  </si>
  <si>
    <t xml:space="preserve">Added Buttons to print and return to set up </t>
  </si>
  <si>
    <t>V2.3</t>
  </si>
  <si>
    <t>="(" &amp; E5 &amp; ", " &amp; F5 &amp; ", " &amp; G5 &amp; ")"</t>
  </si>
  <si>
    <t xml:space="preserve">Took Print VB Components V2.3 and moved things around so I can hopefully make it an </t>
  </si>
  <si>
    <t>addin which will allow you to use the colors mapping and formatting to print</t>
  </si>
  <si>
    <t>any Component in the current workbook.</t>
  </si>
  <si>
    <t>Print VB Components Addin V1.0</t>
  </si>
  <si>
    <t>Select</t>
  </si>
  <si>
    <t>With</t>
  </si>
  <si>
    <t>Cb_WithSz</t>
  </si>
  <si>
    <t>O34</t>
  </si>
  <si>
    <t>Cb_WithColor</t>
  </si>
  <si>
    <t>P34</t>
  </si>
  <si>
    <t>ChkB_WithBold</t>
  </si>
  <si>
    <t>Q34</t>
  </si>
  <si>
    <t>Cb_SelectSz</t>
  </si>
  <si>
    <t>Cb_SelectColor</t>
  </si>
  <si>
    <t>ChkB_SelectBold</t>
  </si>
  <si>
    <t>O32</t>
  </si>
  <si>
    <t>P32</t>
  </si>
  <si>
    <t>Q32</t>
  </si>
  <si>
    <t>exploring slow opening issue there were tons of ranges named Sample_xxx</t>
  </si>
  <si>
    <t xml:space="preserve">I deleted these see if it opens quicker. Didn't help it also had a ton </t>
  </si>
  <si>
    <t>of connections I deleted them all we'll see what happens</t>
  </si>
  <si>
    <t>That made a huge difference seems to have resolved the problem</t>
  </si>
  <si>
    <t>RGB(255, 0, 255)</t>
  </si>
  <si>
    <t>RGB(0, 255, 255)</t>
  </si>
  <si>
    <t>RGB(128, 0, 0)</t>
  </si>
  <si>
    <t>RGB(0, 128, 0)</t>
  </si>
  <si>
    <t>RGB(0, 0, 128)</t>
  </si>
  <si>
    <t>RGB(128, 128, 0)</t>
  </si>
  <si>
    <t>RGB(128, 0, 128)</t>
  </si>
  <si>
    <t>RGB(0, 128, 128)</t>
  </si>
  <si>
    <t>RGB(192, 192, 192)</t>
  </si>
  <si>
    <t>RGB(128, 128, 128)</t>
  </si>
  <si>
    <t>RGB(153, 153, 255)</t>
  </si>
  <si>
    <t>RGB(153, 51, 102)</t>
  </si>
  <si>
    <t>RGB(255, 255, 204)</t>
  </si>
  <si>
    <t>RGB(204, 255, 255)</t>
  </si>
  <si>
    <t>RGB(102, 0, 102)</t>
  </si>
  <si>
    <t>RGB(255, 128, 128)</t>
  </si>
  <si>
    <t>RGB(0, 102, 204)</t>
  </si>
  <si>
    <t>RGB(204, 204, 255)</t>
  </si>
  <si>
    <t>RGB(255, 255, 0)</t>
  </si>
  <si>
    <t>RGB(0, 0, 255)</t>
  </si>
  <si>
    <t>RGB(0, 204, 255)</t>
  </si>
  <si>
    <t>RGB(204, 255, 204)</t>
  </si>
  <si>
    <t>RGB(255, 255, 153)</t>
  </si>
  <si>
    <t>RGB(153, 204, 255)</t>
  </si>
  <si>
    <t>RGB(255, 153, 204)</t>
  </si>
  <si>
    <t>RGB(204, 153, 255)</t>
  </si>
  <si>
    <t>RGB(255, 204, 153)</t>
  </si>
  <si>
    <t>RGB(51, 102, 255)</t>
  </si>
  <si>
    <t>RGB(51, 204, 204)</t>
  </si>
  <si>
    <t>RGB(153, 204, 0)</t>
  </si>
  <si>
    <t>RGB(255, 204, 0)</t>
  </si>
  <si>
    <t>RGB(255, 153, 0)</t>
  </si>
  <si>
    <t>RGB(255, 102, 0)</t>
  </si>
  <si>
    <t>RGB(102, 102, 153)</t>
  </si>
  <si>
    <t>RGB(150, 150, 150)</t>
  </si>
  <si>
    <t>RGB(0, 51, 102)</t>
  </si>
  <si>
    <t>RGB(51, 153, 102)</t>
  </si>
  <si>
    <t>RGB(0, 51, 0)</t>
  </si>
  <si>
    <t>RGB(51, 51, 0)</t>
  </si>
  <si>
    <t>RGB(153, 51, 0)</t>
  </si>
  <si>
    <t>RGB(51, 51, 153)</t>
  </si>
  <si>
    <t>RGB(51, 51, 51)</t>
  </si>
  <si>
    <t>Added routine at top of  sub  LoadSavedPrintCtls in Print Control module</t>
  </si>
  <si>
    <t>to check for a local copy of Color Sheet(not the one in addin) if it exists</t>
  </si>
  <si>
    <t>copy data from Addin to it if it does exist copy data from it to the Color Sheet</t>
  </si>
  <si>
    <t xml:space="preserve">in the Addin. </t>
  </si>
  <si>
    <t>V1.3</t>
  </si>
  <si>
    <t>cleaned up most recent code</t>
  </si>
  <si>
    <t xml:space="preserve">Print VB Component Module </t>
  </si>
  <si>
    <t xml:space="preserve">The first screen you are presented with asks you to select the Module </t>
  </si>
  <si>
    <t>you want to work on .</t>
  </si>
  <si>
    <t xml:space="preserve">From there You go to the print controls screen </t>
  </si>
  <si>
    <t xml:space="preserve">Here you can select the way you want to print out the module </t>
  </si>
  <si>
    <t xml:space="preserve">You can select Font Size , Color and Bold for various parts of your code. </t>
  </si>
  <si>
    <t>Module is the Module name</t>
  </si>
  <si>
    <t>Comments  will appear starting  with a * as opposed to the ' used by the VBE</t>
  </si>
  <si>
    <t>This was to get around some formating issues your actual code hasn't been changed.</t>
  </si>
  <si>
    <t>Code is the balance of your code ie. what's in a subroutine or function.</t>
  </si>
  <si>
    <t>With and Select I basically threw in for completeness I usually don't highlight these commands</t>
  </si>
  <si>
    <t>Print line #'s allows you to select how frequently these are printed . Putting in a 5 next to</t>
  </si>
  <si>
    <t>back to the VB Editor.  You can also select a color for line numbers.</t>
  </si>
  <si>
    <t xml:space="preserve">Page Breaks  allows you to have a page break after each Subroutine or Function </t>
  </si>
  <si>
    <t xml:space="preserve">Print Pages </t>
  </si>
  <si>
    <t>you can specify All to print the whole Module a single page or any contigous group</t>
  </si>
  <si>
    <t>of pages</t>
  </si>
  <si>
    <t>Next you can choose if you want to show a Header or a Footer</t>
  </si>
  <si>
    <t>What actually prints is not customizeable</t>
  </si>
  <si>
    <t>Font Style allows yo to select from about 5 different fonts</t>
  </si>
  <si>
    <t>Orientation  Portrait/Landscape</t>
  </si>
  <si>
    <t>The color Guide will pop up a window showing all 56 colors and their associated numbers</t>
  </si>
  <si>
    <t>You can choose to map either, neither or both of these. Note that the program is only set</t>
  </si>
  <si>
    <t xml:space="preserve">After you have selected the parameters you want Click on Exit the Print Module sheet will be </t>
  </si>
  <si>
    <t xml:space="preserve">created so you can see what your printout will look like. </t>
  </si>
  <si>
    <t xml:space="preserve">SubRoutine and Functions will print in the color chosen the start and end of each </t>
  </si>
  <si>
    <t xml:space="preserve"> You can choose a different color for each if you want . This doesn't change the color</t>
  </si>
  <si>
    <t>of the Statement itself just the Number which map it.</t>
  </si>
  <si>
    <t xml:space="preserve">And end with a Red </t>
  </si>
  <si>
    <t xml:space="preserve">Each If/Then will start wiith a Green </t>
  </si>
  <si>
    <t xml:space="preserve">Added Help screen and changed the Color Help to pop up when requested from </t>
  </si>
  <si>
    <t>the uf_Print_Controls .</t>
  </si>
  <si>
    <t>v1.5</t>
  </si>
  <si>
    <t>Some notes on this Addin :</t>
  </si>
  <si>
    <t>Print Module contains the effects you selected on the Print Controls screen. Once</t>
  </si>
  <si>
    <t xml:space="preserve">You can change or recheck parameters by clicking  Return to Print setup. Or </t>
  </si>
  <si>
    <t>Print by clicking the print button.</t>
  </si>
  <si>
    <t xml:space="preserve">Every will print the line number every 5th line. </t>
  </si>
  <si>
    <t xml:space="preserve"> as 1 line of code, This allows you to match up when you go </t>
  </si>
  <si>
    <t>Note: Lines wrap so a long line may appear on 2 print Lines but this only counts</t>
  </si>
  <si>
    <t xml:space="preserve">The Loops will be designated in the first 4 colimns the If/Thens will be in the next </t>
  </si>
  <si>
    <t>8 columns.</t>
  </si>
  <si>
    <t>Components</t>
  </si>
  <si>
    <t xml:space="preserve">starting Line # </t>
  </si>
  <si>
    <t xml:space="preserve">Comp Type </t>
  </si>
  <si>
    <t xml:space="preserve"># Lines in Comp </t>
  </si>
  <si>
    <t>ThisWorkbook.cls</t>
  </si>
  <si>
    <t>Sheet2.cls</t>
  </si>
  <si>
    <t>Sheet3.cls</t>
  </si>
  <si>
    <t>Sheet4.cls</t>
  </si>
  <si>
    <t>FlowChart_Control.bas</t>
  </si>
  <si>
    <t>menuoptions.bas</t>
  </si>
  <si>
    <t>Prog_Control_and_Help.bas</t>
  </si>
  <si>
    <t>Sheet22.cls</t>
  </si>
  <si>
    <t>uf_Color_Help.frm</t>
  </si>
  <si>
    <t>UF_Select_Sub_or_Function.frm</t>
  </si>
  <si>
    <t>Uf_Code.frm</t>
  </si>
  <si>
    <t>Get_Workbook_Components.bas</t>
  </si>
  <si>
    <t>ListofMacros.bas</t>
  </si>
  <si>
    <t>Sheet135.cls</t>
  </si>
  <si>
    <t>Sheet136.cls</t>
  </si>
  <si>
    <t>uf_ProgressMessage.frm</t>
  </si>
  <si>
    <t>Sheet6.cls</t>
  </si>
  <si>
    <t>Sheet7.cls</t>
  </si>
  <si>
    <t>Declare_Color_Array.bas</t>
  </si>
  <si>
    <t>Ribbon_Callback.bas</t>
  </si>
  <si>
    <t>CreatePrintModSheet.bas</t>
  </si>
  <si>
    <t>NewMapModule.bas</t>
  </si>
  <si>
    <t>uf_Print_Controls.frm</t>
  </si>
  <si>
    <t>Print_Controls.bas</t>
  </si>
  <si>
    <t>Sheet5.cls</t>
  </si>
  <si>
    <t>Module3.bas</t>
  </si>
  <si>
    <t>UserForm1.frm</t>
  </si>
  <si>
    <t>Uf_Component_List.frm</t>
  </si>
  <si>
    <t>Save_Refresh_ufPrintControls.bas</t>
  </si>
  <si>
    <t>Sheet10.cls</t>
  </si>
  <si>
    <t>Sheet16.cls</t>
  </si>
  <si>
    <t>Sheet1.cls</t>
  </si>
  <si>
    <t>you are finished the can delete this sheet if you choose</t>
  </si>
  <si>
    <t>1) It creates 1 new Sheet in your workbook Print Module</t>
  </si>
  <si>
    <t>Next you can trace For/Next and Do loops and If/Then loops</t>
  </si>
  <si>
    <t xml:space="preserve"> up to handle 2 nested Loops (For/Next or Do Loops).  It will map up to 4 nested If/Then sequences.</t>
  </si>
  <si>
    <t>.cls</t>
  </si>
  <si>
    <t>.bas</t>
  </si>
  <si>
    <t>.frm</t>
  </si>
  <si>
    <t>Filename</t>
  </si>
  <si>
    <t>Path</t>
  </si>
  <si>
    <t>Created</t>
  </si>
  <si>
    <t>last Saved</t>
  </si>
  <si>
    <t xml:space="preserve">Revision # </t>
  </si>
  <si>
    <t xml:space="preserve">In SetUpFor Print in Create ModSheet module added Thiswb reference to Thisworkbook </t>
  </si>
  <si>
    <t>as it needed to look in addin sheet. Also changed NumLines to Ubound(CodeLineArry)</t>
  </si>
  <si>
    <t>read all the component code into the array CodeLineArry.</t>
  </si>
  <si>
    <t xml:space="preserve">this was read from Imported Module which at some point I ditched and </t>
  </si>
  <si>
    <t>Added some comments and lines in ProcessData sub in CreatePrintModSheet module</t>
  </si>
  <si>
    <t>to show how much of data has been processes.  I had a big module Daily Analysis</t>
  </si>
  <si>
    <t>selected in Trade Tester workbook and it was taking a very long time to process</t>
  </si>
  <si>
    <t>using these changes to figure out what is happening.</t>
  </si>
  <si>
    <t xml:space="preserve">Turns out the really slow part seemse to ne the construction of the </t>
  </si>
  <si>
    <t>the PrntArry in sub CreatePrintMod in module CreatePrintModSheet</t>
  </si>
  <si>
    <t xml:space="preserve"> </t>
  </si>
  <si>
    <t xml:space="preserve">        Next</t>
  </si>
  <si>
    <t>End Sub</t>
  </si>
  <si>
    <t xml:space="preserve">        End With</t>
  </si>
  <si>
    <t>Component Name   CreatePrintModSheet</t>
  </si>
  <si>
    <t>Public PrntArry() As Variant</t>
  </si>
  <si>
    <t xml:space="preserve">        '*!!!!!!!!!!!!!!!!!!!!!!!!!!!!!!!!!!!!!!!!!!!!!!!!!!!!!!!!!!!</t>
  </si>
  <si>
    <t xml:space="preserve">        '*All the subs in the Module are called from Print_Controls Module</t>
  </si>
  <si>
    <t xml:space="preserve">        '*</t>
  </si>
  <si>
    <t xml:space="preserve">        Sub ProcessData()</t>
  </si>
  <si>
    <t xml:space="preserve">        '*!!!!!!!!!!!!!!!!!!!!!!!!!!!!!!!!!!!!!!!!!!!!!!!!!!!!!!!!!!!!!</t>
  </si>
  <si>
    <t xml:space="preserve">        '*This goes through each line in the Imported Module sheet and</t>
  </si>
  <si>
    <t xml:space="preserve">        '*identifies what type of line (1) line length (2) Loop Count (3)</t>
  </si>
  <si>
    <t xml:space="preserve">        '*If count (4) . This is set up to have at most 2 Loops</t>
  </si>
  <si>
    <t xml:space="preserve">        '*and 4 If/Then'*s nested .  A one line if Then doesn'*t count towards</t>
  </si>
  <si>
    <t xml:space="preserve">        '*nesting limit</t>
  </si>
  <si>
    <t xml:space="preserve">        '*Subsequently updates to pull lines from Array CodeLineArry instead of</t>
  </si>
  <si>
    <t xml:space="preserve">        '*the Imported Module sheet . This was to speed things up .</t>
  </si>
  <si>
    <t xml:space="preserve">        '*!!!!!!!!!!!!!!!!!!!!!!!!!!!!!!!!!!!!!!!!!!!!!!!!!!!!!!!!!!!!!!</t>
  </si>
  <si>
    <t xml:space="preserve">        Dim arrylen As Integer</t>
  </si>
  <si>
    <t xml:space="preserve">        Dim TestSF As String</t>
  </si>
  <si>
    <t xml:space="preserve">        Dim FrstSpc As Integer</t>
  </si>
  <si>
    <t xml:space="preserve">        Dim Ln As Variant</t>
  </si>
  <si>
    <t xml:space="preserve">        Dim TestWord As String</t>
  </si>
  <si>
    <t xml:space="preserve">        Dim LnLength As Integer</t>
  </si>
  <si>
    <t xml:space="preserve">        Dim wsPrnt As Worksheet</t>
  </si>
  <si>
    <t xml:space="preserve">        Dim sh As Worksheet</t>
  </si>
  <si>
    <t xml:space="preserve">        Dim Test1 As Integer</t>
  </si>
  <si>
    <t xml:space="preserve">        Dim LoopCtr As Integer</t>
  </si>
  <si>
    <t xml:space="preserve">        Dim IfCtr As Integer</t>
  </si>
  <si>
    <t xml:space="preserve">        Dim ModNmRow As Integer</t>
  </si>
  <si>
    <t xml:space="preserve">        Dim flg As Boolean</t>
  </si>
  <si>
    <t xml:space="preserve">        Dim wsAI As Worksheet</t>
  </si>
  <si>
    <t xml:space="preserve">        Dim wb As Workbook</t>
  </si>
  <si>
    <t xml:space="preserve">     '*   Set ws = Sheets("Imported Module")</t>
  </si>
  <si>
    <t xml:space="preserve">        Set wsAI = ThisWorkbook.Sheets("Color Sheet")</t>
  </si>
  <si>
    <t xml:space="preserve">        Set wb = ThisWorkbook</t>
  </si>
  <si>
    <t xml:space="preserve">        arrylen = UBound(CodeLineArry)</t>
  </si>
  <si>
    <t xml:space="preserve">        ReDim PrntArry(arrylen, 4) As Variant       'Defined as Public above</t>
  </si>
  <si>
    <t xml:space="preserve">        Application.DisplayAlerts = False</t>
  </si>
  <si>
    <t xml:space="preserve">        '*create new Print Module</t>
  </si>
  <si>
    <t xml:space="preserve">         For Each sh In ActiveWorkbook.Worksheets</t>
  </si>
  <si>
    <t xml:space="preserve">        If sh.Name Like "Print Module" Then flg = True: Exit For</t>
  </si>
  <si>
    <t xml:space="preserve">        If flg = True Then Worksheets("Print Module").Delete</t>
  </si>
  <si>
    <t xml:space="preserve">        flg = False</t>
  </si>
  <si>
    <t xml:space="preserve">        Application.DisplayAlerts = True</t>
  </si>
  <si>
    <t xml:space="preserve">    Set wsPrnt = Sheets.Add(After:=Sheets(Sheets.Count))</t>
  </si>
  <si>
    <t xml:space="preserve">        wsPrnt.Name = "Print Module"</t>
  </si>
  <si>
    <t xml:space="preserve">        LoopCtr = 0</t>
  </si>
  <si>
    <t xml:space="preserve">        IfCtr = 0</t>
  </si>
  <si>
    <t xml:space="preserve">        For i = 1 To arrylen</t>
  </si>
  <si>
    <t xml:space="preserve">                '*!!!!!!!!!!!!!!!!!!!!!!!!!!!!!!change to pulling data from CodeLnArry</t>
  </si>
  <si>
    <t xml:space="preserve">        '*Ln = Trim(ws.Range("A" &amp; i))</t>
  </si>
  <si>
    <t xml:space="preserve">        Ln = Trim(CodeLineArry(i))</t>
  </si>
  <si>
    <t xml:space="preserve">        LnLength = Len(Ln)</t>
  </si>
  <si>
    <t xml:space="preserve">       '* first see if line is a comment or is Blank</t>
  </si>
  <si>
    <t xml:space="preserve">        Test1 = FuncCmtorBlank(Ln, i)</t>
  </si>
  <si>
    <t xml:space="preserve">        TestWord = ""</t>
  </si>
  <si>
    <t xml:space="preserve">        '*If line is not a comment or blank process it</t>
  </si>
  <si>
    <t xml:space="preserve">        If Test1 = 0 Then</t>
  </si>
  <si>
    <t xml:space="preserve">          FrstSpc = InStr(1, Ln, " ")</t>
  </si>
  <si>
    <t xml:space="preserve">          If FrstSpc &lt;&gt; 0 Then</t>
  </si>
  <si>
    <t xml:space="preserve">          TestWord = Left(Ln, FrstSpc - 1)</t>
  </si>
  <si>
    <t xml:space="preserve">          Else</t>
  </si>
  <si>
    <t xml:space="preserve">          TestWord = Ln</t>
  </si>
  <si>
    <t xml:space="preserve">          End If</t>
  </si>
  <si>
    <t xml:space="preserve">          If TestWord = "End" Then TestWord = Left(Ln, 6)</t>
  </si>
  <si>
    <t xml:space="preserve">          If TestWord = "Private" Then</t>
  </si>
  <si>
    <t xml:space="preserve">          '*This will get correct TestWord if it is a subroutine</t>
  </si>
  <si>
    <t xml:space="preserve">            TestWord = Mid(Ln, 9, 3)</t>
  </si>
  <si>
    <t xml:space="preserve">            '*This will get correct TestWord Function if it is a function</t>
  </si>
  <si>
    <t xml:space="preserve">            If Left(TestWord, 1) = "F" Then TestWord = Mid(Ln, 9, 8)</t>
  </si>
  <si>
    <t xml:space="preserve">           Else</t>
  </si>
  <si>
    <t xml:space="preserve">           End If</t>
  </si>
  <si>
    <t xml:space="preserve">          If TestWord = "Public" Then</t>
  </si>
  <si>
    <t xml:space="preserve">           '*This will get correct TestWord if it is a subroutine</t>
  </si>
  <si>
    <t xml:space="preserve">            TestWord = Mid(Ln, 8, 3)</t>
  </si>
  <si>
    <t xml:space="preserve">            If Left(TestWord, 1) = "F" Then TestWord = Mid(Ln, 8, 8)</t>
  </si>
  <si>
    <t xml:space="preserve">           '* Now check if TestWord is a keyword if so note it</t>
  </si>
  <si>
    <t xml:space="preserve">           '*Data in PrntArry columns noted at the top of the module</t>
  </si>
  <si>
    <t xml:space="preserve">         Select Case TestWord</t>
  </si>
  <si>
    <t xml:space="preserve">            Case "Component"</t>
  </si>
  <si>
    <t xml:space="preserve">            PrntArry(i, 1) = "Module"</t>
  </si>
  <si>
    <t xml:space="preserve">            PrntArry(i, 2) = LnLength</t>
  </si>
  <si>
    <t xml:space="preserve">            PrntArry(i, 3) = PrntArry(i - 1, 3)</t>
  </si>
  <si>
    <t xml:space="preserve">            PrntArry(i, 4) = PrntArry(i - 1, 4)</t>
  </si>
  <si>
    <t xml:space="preserve">            Case "Sub"</t>
  </si>
  <si>
    <t xml:space="preserve">            PrntArry(i, 1) = "Sub"</t>
  </si>
  <si>
    <t xml:space="preserve">            Case "Function"</t>
  </si>
  <si>
    <t xml:space="preserve">             PrntArry(i, 1) = "Func"</t>
  </si>
  <si>
    <t xml:space="preserve">             PrntArry(i, 2) = LnLength</t>
  </si>
  <si>
    <t xml:space="preserve">             PrntArry(i, 3) = PrntArry(i - 1, 3)</t>
  </si>
  <si>
    <t xml:space="preserve">             PrntArry(i, 4) = PrntArry(i - 1, 4)</t>
  </si>
  <si>
    <t xml:space="preserve">            Case "For"</t>
  </si>
  <si>
    <t xml:space="preserve">             PrntArry(i, 1) = "ForNext"</t>
  </si>
  <si>
    <t xml:space="preserve">             PrntArry(i, 3) = PrntArry(i - 1, 3) + 1</t>
  </si>
  <si>
    <t xml:space="preserve">            Case "Do"</t>
  </si>
  <si>
    <t xml:space="preserve">             PrntArry(i, 1) = "Do Loop"</t>
  </si>
  <si>
    <t xml:space="preserve">             PrntArry(i, 3) = PrntArry(i, 3) + 1</t>
  </si>
  <si>
    <t xml:space="preserve">             Case "Loop"</t>
  </si>
  <si>
    <t xml:space="preserve">              PrntArry(i, 1) = "Loop"</t>
  </si>
  <si>
    <t xml:space="preserve">              PrntArry(i, 2) = LnLength</t>
  </si>
  <si>
    <t xml:space="preserve">              PrntArry(i, 3) = PrntArry(i - 1, 3) - 1</t>
  </si>
  <si>
    <t xml:space="preserve">              PrntArry(i, 4) = PrntArry(i - 1, 4)</t>
  </si>
  <si>
    <t xml:space="preserve">              </t>
  </si>
  <si>
    <t xml:space="preserve">            Case "If"</t>
  </si>
  <si>
    <t xml:space="preserve">             LcateThen = InStr(1, Ln, "Then")</t>
  </si>
  <si>
    <t xml:space="preserve">            If LcateThen + 5 &gt; LnLength Then</t>
  </si>
  <si>
    <t xml:space="preserve">             PrntArry(i, 1) = "IfThen"</t>
  </si>
  <si>
    <t xml:space="preserve">             PrntArry(i, 4) = PrntArry(i - 1, 4) + 1</t>
  </si>
  <si>
    <t xml:space="preserve">             PrntArry(i, 1) = "IfThenOneLine"</t>
  </si>
  <si>
    <t xml:space="preserve">             Case "End If"</t>
  </si>
  <si>
    <t xml:space="preserve">             PrntArry(i, 1) = "EOIf"</t>
  </si>
  <si>
    <t xml:space="preserve">             PrntArry(i, 4) = PrntArry(i - 1, 4) - 1</t>
  </si>
  <si>
    <t xml:space="preserve">                          </t>
  </si>
  <si>
    <t xml:space="preserve">            Case "Else"</t>
  </si>
  <si>
    <t xml:space="preserve">             PrntArry(i, 1) = "Else"</t>
  </si>
  <si>
    <t xml:space="preserve">            Case "End Su"</t>
  </si>
  <si>
    <t xml:space="preserve">             PrntArry(i, 1) = "EOSub"</t>
  </si>
  <si>
    <t xml:space="preserve">             If wsAI.Range("O13") = "Yes" Then ActiveSheet.HPageBreaks.Add Before:=Rows(i + 1)</t>
  </si>
  <si>
    <t xml:space="preserve">            Case "End Fu"</t>
  </si>
  <si>
    <t xml:space="preserve">             PrntArry(i, 1) = "EOFunc"</t>
  </si>
  <si>
    <t xml:space="preserve">            Case "End Wi"</t>
  </si>
  <si>
    <t xml:space="preserve">             PrntArry(i, 1) = "End With"</t>
  </si>
  <si>
    <t xml:space="preserve">            Case "End Se"</t>
  </si>
  <si>
    <t xml:space="preserve">             PrntArry(i, 1) = "End Select"</t>
  </si>
  <si>
    <t xml:space="preserve">            Case "Next"</t>
  </si>
  <si>
    <t xml:space="preserve">             PrntArry(i, 1) = "Next"</t>
  </si>
  <si>
    <t xml:space="preserve">             PrntArry(i, 3) = PrntArry(i - 1, 3) - 1</t>
  </si>
  <si>
    <t xml:space="preserve">            Case "With"</t>
  </si>
  <si>
    <t xml:space="preserve">             PrntArry(i, 1) = "With"</t>
  </si>
  <si>
    <t xml:space="preserve">            Case "Select"</t>
  </si>
  <si>
    <t xml:space="preserve">             PrntArry(i, 1) = "Select"</t>
  </si>
  <si>
    <t xml:space="preserve">            Case Else</t>
  </si>
  <si>
    <t xml:space="preserve">             PrntArry(i, 1) = "Code"</t>
  </si>
  <si>
    <t xml:space="preserve">             If i &gt; 1 Then</t>
  </si>
  <si>
    <t xml:space="preserve">          End Select</t>
  </si>
  <si>
    <t xml:space="preserve">           PrntArry(i, 3) = PrntArry(i - 1, 3)</t>
  </si>
  <si>
    <t xml:space="preserve">           PrntArry(i, 4) = PrntArry(i - 1, 4)</t>
  </si>
  <si>
    <t xml:space="preserve">        '*Debug.Print i, TestWord, Ln, PrntArry(i, 1), PrntArry(i, 2), PrntArry(i, 3)</t>
  </si>
  <si>
    <t xml:space="preserve">            Function FindModNm(ws As Worksheet) As Integer</t>
  </si>
  <si>
    <t xml:space="preserve">            Dim FindMod As String</t>
  </si>
  <si>
    <t xml:space="preserve">            Dim ModRw As Integer</t>
  </si>
  <si>
    <t xml:space="preserve">            Dim cel As Range</t>
  </si>
  <si>
    <t xml:space="preserve">            ModRw = 1</t>
  </si>
  <si>
    <t xml:space="preserve">            FindMod = "Attribute VB_Name"</t>
  </si>
  <si>
    <t xml:space="preserve">            For Each cel In ws.Range("A1:A20")</t>
  </si>
  <si>
    <t xml:space="preserve">                If InStr(1, cel.Value, FindMod) &gt; 0 Then</t>
  </si>
  <si>
    <t xml:space="preserve">                Exit For</t>
  </si>
  <si>
    <t xml:space="preserve">                ModRw = ModRw + 1</t>
  </si>
  <si>
    <t xml:space="preserve">            Next cel</t>
  </si>
  <si>
    <t xml:space="preserve">        FindModNm = ModRw</t>
  </si>
  <si>
    <t xml:space="preserve">            End Function</t>
  </si>
  <si>
    <t xml:space="preserve">              Function FuncCmtorBlank(Ln As Variant, j As Integer) As Integer</t>
  </si>
  <si>
    <t xml:space="preserve">                '*!!!!!!!!!!!!!!!!!!!!!!!!!!!!!!!!!!!!!!!!!!!!!!!!!!!!!!!!</t>
  </si>
  <si>
    <t xml:space="preserve">                '*This identifies id line is either a Comment or a Blank</t>
  </si>
  <si>
    <t xml:space="preserve">                '*</t>
  </si>
  <si>
    <t xml:space="preserve">                '*!!!!!!!!!!!!!!!!!!!!!!!!!!!!!!!!!!!!!!!!!!!!!!!!!!!!!!!</t>
  </si>
  <si>
    <t xml:space="preserve">              Dim LineL As Integer</t>
  </si>
  <si>
    <t xml:space="preserve">              LineL = Len(Ln)</t>
  </si>
  <si>
    <t xml:space="preserve">              x = InStr(1, Ln, "*")</t>
  </si>
  <si>
    <t xml:space="preserve">              If x = 2 Then</t>
  </si>
  <si>
    <t xml:space="preserve">              PrntArry(j, 1) = "Cmt"</t>
  </si>
  <si>
    <t xml:space="preserve">              PrntArry(j, 2) = LineL</t>
  </si>
  <si>
    <t xml:space="preserve">              FuncCmtorBlank = 1</t>
  </si>
  <si>
    <t xml:space="preserve">                If LineL = 0 Then</t>
  </si>
  <si>
    <t xml:space="preserve">                PrntArry(j, 1) = "Blank"</t>
  </si>
  <si>
    <t xml:space="preserve">                PrntArry(j, 2) = LineL</t>
  </si>
  <si>
    <t xml:space="preserve">                FuncCmtorBlank = 2</t>
  </si>
  <si>
    <t xml:space="preserve">        Sub CreatePrintMod()</t>
  </si>
  <si>
    <t xml:space="preserve">        '*!!!!!!!!!!!!!!!!!!!!!!!!!!!!!!!!!!!!!!!!!!!!!!!!!!!!!!!!!!!!!!!!!</t>
  </si>
  <si>
    <t xml:space="preserve">        '*This will bring all info together to format contents of</t>
  </si>
  <si>
    <t xml:space="preserve">        '*the Print Mod Sheet</t>
  </si>
  <si>
    <t xml:space="preserve">        Dim PageCtr As Integer</t>
  </si>
  <si>
    <t xml:space="preserve">        Dim LnFontSz As Integer</t>
  </si>
  <si>
    <t xml:space="preserve">        Dim LnFontColor As Integer</t>
  </si>
  <si>
    <t xml:space="preserve">        Dim cel As Range</t>
  </si>
  <si>
    <t xml:space="preserve">        Dim LnFontBold As Boolean</t>
  </si>
  <si>
    <t xml:space="preserve">        Dim LnFontIndt As Integer</t>
  </si>
  <si>
    <t xml:space="preserve">        Dim x As Integer</t>
  </si>
  <si>
    <t xml:space="preserve">        Dim LineType As String</t>
  </si>
  <si>
    <t xml:space="preserve">        Dim CurrLine As Integer</t>
  </si>
  <si>
    <t xml:space="preserve">        Dim LoopCntr As Integer</t>
  </si>
  <si>
    <t xml:space="preserve">        Dim PrevLoopCntr As Integer</t>
  </si>
  <si>
    <t xml:space="preserve">        Dim IfCntr As Integer</t>
  </si>
  <si>
    <t xml:space="preserve">        Dim PrevIfCntr As Integer</t>
  </si>
  <si>
    <t xml:space="preserve">        Dim LoopColor As Integer</t>
  </si>
  <si>
    <t xml:space="preserve">        Dim IfColor As Integer</t>
  </si>
  <si>
    <t xml:space="preserve">        Dim MapCols As Integer</t>
  </si>
  <si>
    <t xml:space="preserve">        Dim Codecol As String</t>
  </si>
  <si>
    <t xml:space="preserve">        Dim LineWdthArry(8) As Variant</t>
  </si>
  <si>
    <t xml:space="preserve">        Dim CodeWdthIndx As Integer</t>
  </si>
  <si>
    <t xml:space="preserve">        Dim ModRwLgth As Integer</t>
  </si>
  <si>
    <t xml:space="preserve">        Dim ModRwEqal As Integer</t>
  </si>
  <si>
    <t xml:space="preserve">        Dim ModNm As String</t>
  </si>
  <si>
    <t>*        For Each cel In Range("LineWdth")</t>
  </si>
  <si>
    <t>*        LineWdthArry(i) = cel.Value</t>
  </si>
  <si>
    <t>*        Debug.Print i, LineWdthArry(i)</t>
  </si>
  <si>
    <t>*        Next cel</t>
  </si>
  <si>
    <t>*</t>
  </si>
  <si>
    <t xml:space="preserve">      '*   Set ws = Sheets("Imported Module")</t>
  </si>
  <si>
    <t xml:space="preserve">        Set wsPrnt = Sheets("Print Module")</t>
  </si>
  <si>
    <t xml:space="preserve">         '*copy Imported Module</t>
  </si>
  <si>
    <t xml:space="preserve">      '*  ws.Columns("A:A").Copy</t>
  </si>
  <si>
    <t xml:space="preserve">      '*  Selection.PasteSpecial xlPasteAll</t>
  </si>
  <si>
    <t xml:space="preserve">      '*  Application.CutCopyMode = False</t>
  </si>
  <si>
    <t xml:space="preserve">       '*Set Up Headers on Print Module</t>
  </si>
  <si>
    <t xml:space="preserve">       '*MapCols is = 4 if just tracking Loops ,8 if just tracking if/then'*s and =12 if doing both</t>
  </si>
  <si>
    <t xml:space="preserve">       MapCols = 0</t>
  </si>
  <si>
    <t xml:space="preserve">       If wsAI.Range("Q8") = "Yes" Then MapCols = 4</t>
  </si>
  <si>
    <t xml:space="preserve">       If wsAI.Range("Q11") = "Yes" Then MapCols = MapCols + 8</t>
  </si>
  <si>
    <t xml:space="preserve">       '*Insert Tracking Columns</t>
  </si>
  <si>
    <t xml:space="preserve">       For i = 1 To MapCols</t>
  </si>
  <si>
    <t xml:space="preserve">        wsPrnt.Columns("A:A").Insert</t>
  </si>
  <si>
    <t xml:space="preserve">        wsPrnt.Columns("A:A").ColumnWidth = 1</t>
  </si>
  <si>
    <t xml:space="preserve">        '*Line # Column</t>
  </si>
  <si>
    <t xml:space="preserve">        wsPrnt.Columns("A:A").ColumnWidth = 5</t>
  </si>
  <si>
    <t xml:space="preserve">        wsPrnt.Rows("1:1").Insert</t>
  </si>
  <si>
    <t xml:space="preserve">        wsPrnt.Range("A1") = "Ln #"</t>
  </si>
  <si>
    <t xml:space="preserve">        wsPrnt.Range("A1").Offset(0, MapCols + 1) = "Code"</t>
  </si>
  <si>
    <t xml:space="preserve">        wsPrnt.Range("A1").Offset(0, MapCols + 1).Font.Bold = True</t>
  </si>
  <si>
    <t xml:space="preserve">        wsPrnt.Range("A1").Offset(0, MapCols + 1).Font.Size = 14</t>
  </si>
  <si>
    <t xml:space="preserve">         wsPrnt.Range("A1").Font.Bold = True</t>
  </si>
  <si>
    <t xml:space="preserve">        wsPrnt.Range("A1").Font.Size = 14</t>
  </si>
  <si>
    <t xml:space="preserve">        '*Set up code column</t>
  </si>
  <si>
    <t xml:space="preserve">        '*This adjust the width of the Code column based upon orientation</t>
  </si>
  <si>
    <t xml:space="preserve">        '*and the number of mapping columns used I'*ve assumed default</t>
  </si>
  <si>
    <t xml:space="preserve">        '*margin settings</t>
  </si>
  <si>
    <t xml:space="preserve">        CodeWdthIndx = 0</t>
  </si>
  <si>
    <t xml:space="preserve">        If wsAI.Range("O31") = "Landscape" Then CodeWdthIndx = 1</t>
  </si>
  <si>
    <t xml:space="preserve">        CodeWdthIndx = CodeWdthIndx * 4 + (MapCols / 4 + 1)</t>
  </si>
  <si>
    <t xml:space="preserve">        test = CLng(wsAI.Range("ColWidth").Offset(CodeWdthIndx, 0))</t>
  </si>
  <si>
    <t xml:space="preserve">        wsPrnt.Columns(MapCols + 2).ColumnWidth = test</t>
  </si>
  <si>
    <t xml:space="preserve">        wsPrnt.Columns(MapCols + 2).WrapText = True</t>
  </si>
  <si>
    <t xml:space="preserve">        wsPrnt.Range("A1").Offset(0, MapCols + 1).HorizontalAlignment = xlCenter</t>
  </si>
  <si>
    <t xml:space="preserve">        wsPrnt.Columns(MapCols + 2).Font.Name = wsAI.Range("O18")</t>
  </si>
  <si>
    <t xml:space="preserve">       '*   arrylen = ws.Range("G1").Value</t>
  </si>
  <si>
    <t xml:space="preserve">            arrylen = UBound(CodeLineArry)</t>
  </si>
  <si>
    <t xml:space="preserve">          Codecol = Left(Cells(1, MapCols + 2).Address(False, False), 1)</t>
  </si>
  <si>
    <t xml:space="preserve">        '*set variables</t>
  </si>
  <si>
    <t xml:space="preserve">        LineType = PrntArry(i, 1)</t>
  </si>
  <si>
    <t xml:space="preserve">        LoopCntr = PrntArry(i, 3)</t>
  </si>
  <si>
    <t xml:space="preserve">        IfCntr = PrntArry(i, 4)</t>
  </si>
  <si>
    <t xml:space="preserve">        If i &gt; 1 Then</t>
  </si>
  <si>
    <t xml:space="preserve">        PrevLoopCntr = PrntArry(i - 1, 3)</t>
  </si>
  <si>
    <t xml:space="preserve">        PrevIfCntr = PrntArry(i - 1, 4)</t>
  </si>
  <si>
    <t xml:space="preserve">        '*If line Type is blank just skip it</t>
  </si>
  <si>
    <t xml:space="preserve">        If LineType &lt;&gt; "Blank" Then</t>
  </si>
  <si>
    <t xml:space="preserve">            '*Format Current Line using Vlookup to find the Line type (ie sub,Function,if...)</t>
  </si>
  <si>
    <t xml:space="preserve">            '*then the appropriate date from the range PrintCtlData</t>
  </si>
  <si>
    <t xml:space="preserve">            LnFontSz = Application.WorksheetFunction.VLookup(LineType, wsAI.Range("PrintCtlData"), 2, 0)</t>
  </si>
  <si>
    <t xml:space="preserve">            LnFontColor = Application.WorksheetFunction.VLookup(LineType, wsAI.Range("PrintCtlData"), 3, 0)</t>
  </si>
  <si>
    <t xml:space="preserve">            '*LnFontColor = Application.WorksheetFunction.VLookup(x, Range("ColorIndex"), 2)</t>
  </si>
  <si>
    <t xml:space="preserve">            '*LnFontColor = ColorArry(x)</t>
  </si>
  <si>
    <t xml:space="preserve">            '*Lnfontbold</t>
  </si>
  <si>
    <t xml:space="preserve">            LnFontIndt = Application.WorksheetFunction.VLookup(LineType, wsAI.Range("PrintCtlData"), 3, 0)</t>
  </si>
  <si>
    <t xml:space="preserve">            '*wsPrnt.Range(Codecol &amp; i + 1) = Space(LnFontIndt) &amp; wsPrnt.Range(Codecol &amp; i + 1)</t>
  </si>
  <si>
    <t xml:space="preserve">          If i Mod 5 = 0 Then</t>
  </si>
  <si>
    <t xml:space="preserve">             wsPrnt.Range("A" &amp; i + 1).Value = i</t>
  </si>
  <si>
    <t xml:space="preserve">              wsPrnt.Range("A" &amp; i + 1).Value = ""</t>
  </si>
  <si>
    <t xml:space="preserve">              End If</t>
  </si>
  <si>
    <t xml:space="preserve">        If MapCols = 4 Or MapCols = 12 Then</t>
  </si>
  <si>
    <t xml:space="preserve">            '*Check for Loops</t>
  </si>
  <si>
    <t xml:space="preserve">            CurrLine = i + 1</t>
  </si>
  <si>
    <t xml:space="preserve">            If LoopCntr &lt; 2 Then currloopcol = 2</t>
  </si>
  <si>
    <t xml:space="preserve">            If LoopCntr = 2 Then currloopcol = 4</t>
  </si>
  <si>
    <t xml:space="preserve">            curraddr = Cells(CurrLine, currloopcol).Address</t>
  </si>
  <si>
    <t xml:space="preserve">            If LoopCntr &gt; PrevLoopCntr Then TestLoop = "Greater"</t>
  </si>
  <si>
    <t xml:space="preserve">            If LoopCntr = PrevLoopCntr Then TestLoop = "Equals"</t>
  </si>
  <si>
    <t xml:space="preserve">            If LoopCntr &lt; PrevLoopCntr Then TestLoop = "Less"</t>
  </si>
  <si>
    <t xml:space="preserve">            Select Case TestLoop</t>
  </si>
  <si>
    <t xml:space="preserve">            Case "Greater"</t>
  </si>
  <si>
    <t xml:space="preserve">                wsPrnt.Range(curraddr) = "&gt;"</t>
  </si>
  <si>
    <t xml:space="preserve">            Case "Equals"</t>
  </si>
  <si>
    <t xml:space="preserve">                If LoopCntr &gt; 0 Then</t>
  </si>
  <si>
    <t xml:space="preserve">                wsPrnt.Range(curraddr) = LoopCntr</t>
  </si>
  <si>
    <t xml:space="preserve">                wsPrnt.Range(curraddr) = ""</t>
  </si>
  <si>
    <t xml:space="preserve">            Case "Less"</t>
  </si>
  <si>
    <t xml:space="preserve">                '*this fixes the issue I made weird by labels for no loops and 1 loop</t>
  </si>
  <si>
    <t xml:space="preserve">                '*being in the same column</t>
  </si>
  <si>
    <t xml:space="preserve">                If LoopCntr = 1 Then</t>
  </si>
  <si>
    <t xml:space="preserve">                wsPrnt.Range(curraddr).Offset(0, 2) = "&lt;"</t>
  </si>
  <si>
    <t xml:space="preserve">                If LoopCntr &lt;&gt; 0 Then wsPrnt.Range(curraddr) = LoopCntr</t>
  </si>
  <si>
    <t xml:space="preserve">                wsPrnt.Range(curraddr) = "&lt;"</t>
  </si>
  <si>
    <t xml:space="preserve">            End Select</t>
  </si>
  <si>
    <t xml:space="preserve">            '*Debug.Print loopcntr, i, curraddr</t>
  </si>
  <si>
    <t xml:space="preserve">            '*find color</t>
  </si>
  <si>
    <t xml:space="preserve">                LoopColor = Application.WorksheetFunction.VLookup("ForNext", wsAI.Range("PrintCtlData"), 3, 0)</t>
  </si>
  <si>
    <t xml:space="preserve">                wsPrnt.Range(curraddr).Font.Color = ColorArry(LoopColor)</t>
  </si>
  <si>
    <t xml:space="preserve">                wsPrnt.Range(curraddr).Offset(0, 2).Font.Color = ColorArry(LoopColor)</t>
  </si>
  <si>
    <t xml:space="preserve">                If wsPrnt.Range(curraddr).Offset(0, 2) = "&lt;" Then wsPrnt.Range(curraddr).Offset(0, 2).Font.Color = ColorArry(3)</t>
  </si>
  <si>
    <t xml:space="preserve">                If wsPrnt.Range(curraddr).Offset = "&lt;" Then wsPrnt.Range(curraddr).Offset.Font.Color = ColorArry(3)</t>
  </si>
  <si>
    <t xml:space="preserve">                If wsPrnt.Range(curraddr) = "&gt;" Then wsPrnt.Range(curraddr).Font.Color = ColorArry(4)</t>
  </si>
  <si>
    <t xml:space="preserve">        If MapCols = 8 Or MapCols = 12 Then</t>
  </si>
  <si>
    <t xml:space="preserve">            '*Check for Multiple line If Thens</t>
  </si>
  <si>
    <t xml:space="preserve">             CurrLine = i + 1</t>
  </si>
  <si>
    <t xml:space="preserve">            ifTab = 6</t>
  </si>
  <si>
    <t xml:space="preserve">            If MapCols = 8 Then ifTab = 2</t>
  </si>
  <si>
    <t xml:space="preserve">            If IfCntr &gt; 0 Then</t>
  </si>
  <si>
    <t xml:space="preserve">            currifcol = (IfCntr - 1) * 2 + ifTab</t>
  </si>
  <si>
    <t xml:space="preserve">            currifcol = ifTab</t>
  </si>
  <si>
    <t xml:space="preserve">            curraddr = Cells(CurrLine, currifcol).Address</t>
  </si>
  <si>
    <t xml:space="preserve">            If IfCntr &gt; PrevIfCntr Then TestLoop = "Greater"</t>
  </si>
  <si>
    <t xml:space="preserve">            If IfCntr = PrevIfCntr Then TestLoop = "Equals"</t>
  </si>
  <si>
    <t xml:space="preserve">            If IfCntr &lt; PrevIfCntr Then TestLoop = "Less"</t>
  </si>
  <si>
    <t xml:space="preserve">                If IfCntr &gt; 0 Then</t>
  </si>
  <si>
    <t xml:space="preserve">                wsPrnt.Range(curraddr) = IfCntr</t>
  </si>
  <si>
    <t xml:space="preserve">                If IfCntr &lt;&gt; 0 Then wsPrnt.Range(curraddr) = IfCntr</t>
  </si>
  <si>
    <t xml:space="preserve">             '*find color</t>
  </si>
  <si>
    <t xml:space="preserve">                IfColor = Application.WorksheetFunction.VLookup("If" &amp; IfCntr &amp; "Color", wsAI.Range("PrintCtlData"), 3, 0)</t>
  </si>
  <si>
    <t xml:space="preserve">                wsPrnt.Range(curraddr).Font.Color = ColorArry(IfColor)</t>
  </si>
  <si>
    <t xml:space="preserve">                wsPrnt.Range(curraddr).Offset(0, 2).Font.Color = ColorArry(IfColor)</t>
  </si>
  <si>
    <t xml:space="preserve">                If wsPrnt.Range(curraddr) = "&lt;" Then wsPrnt.Range(curraddr).Font.Color = ColorArry(3)</t>
  </si>
  <si>
    <t xml:space="preserve">                If wsPrnt.Range(curraddr) = "&gt;" Then wsPrnt.Range(curraddr).Offset.Font.Color = ColorArry(4)</t>
  </si>
  <si>
    <t xml:space="preserve">                If wsPrnt.Range(curraddr) = "&lt;" Then wsPrnt.Range(curraddr).Offset.Font.Color = ColorArry(3)</t>
  </si>
  <si>
    <t xml:space="preserve">             Debug.Print IfCntr, i, curraddr</t>
  </si>
  <si>
    <t xml:space="preserve">       '* ActiveWorkbook.Sheets("Imported Module").Delete</t>
  </si>
  <si>
    <t xml:space="preserve">        Application.ScreenUpdating = True</t>
  </si>
  <si>
    <t xml:space="preserve">        '*RunningRH = RunningRH + wsPrnt.Range(curraddr).RowHeight</t>
  </si>
  <si>
    <t xml:space="preserve">        Sub SetUpForPrint()</t>
  </si>
  <si>
    <t xml:space="preserve">        Dim HFString As String</t>
  </si>
  <si>
    <t xml:space="preserve">        Dim DateTime As String</t>
  </si>
  <si>
    <t xml:space="preserve">        Dim Codecol As Integer</t>
  </si>
  <si>
    <t xml:space="preserve">        Dim CodeColLtr As String</t>
  </si>
  <si>
    <t xml:space="preserve">        Dim NumLines As Integer</t>
  </si>
  <si>
    <t xml:space="preserve">        Dim RngToPrnt As String</t>
  </si>
  <si>
    <t xml:space="preserve">        Dim PrntStrt As Integer</t>
  </si>
  <si>
    <t xml:space="preserve">        Dim PrntEnd As Integer</t>
  </si>
  <si>
    <t xml:space="preserve">        Dim Fnddash As Integer</t>
  </si>
  <si>
    <t xml:space="preserve">        Dim Thiswb As Workbook</t>
  </si>
  <si>
    <t xml:space="preserve">        Set ws = Sheets("Print Module")</t>
  </si>
  <si>
    <t xml:space="preserve">        Set Thiswb = ThisWorkbook</t>
  </si>
  <si>
    <t xml:space="preserve">        Codecol = 1</t>
  </si>
  <si>
    <t xml:space="preserve">        For Each cel In ws.Range("A1:N1")</t>
  </si>
  <si>
    <t xml:space="preserve">            If cel.Value = "Code" Then</t>
  </si>
  <si>
    <t xml:space="preserve">            Codecol = Codecol + 1</t>
  </si>
  <si>
    <t xml:space="preserve">        Next cel</t>
  </si>
  <si>
    <t xml:space="preserve">        CodeColLtr = Left(Cells(1, Codecol).Address(False, False), 1)</t>
  </si>
  <si>
    <t xml:space="preserve">        NumLines = UBound(CodeLineArry) + 1</t>
  </si>
  <si>
    <t xml:space="preserve">        ModName = ws.Range(CodeColLtr &amp; "2")</t>
  </si>
  <si>
    <t xml:space="preserve">        If wsAI.Range("O17") = "True" Then</t>
  </si>
  <si>
    <t xml:space="preserve">            '*DateTime = Format(Now(), "MM-DD-YY  hh:mm:ss")</t>
  </si>
  <si>
    <t xml:space="preserve">            DateTime = Thiswb.Sheets("Component Data").Range("H7")</t>
  </si>
  <si>
    <t xml:space="preserve">            HFString = "ModName = " &amp; ModName &amp; "   " &amp; DateTime &amp; "Page &amp;P  of &amp;N"</t>
  </si>
  <si>
    <t xml:space="preserve">        RngToPrnt = Trim(wsAI.Range("O15"))</t>
  </si>
  <si>
    <t xml:space="preserve">        '*Set switch to not print from PrintPreview</t>
  </si>
  <si>
    <t xml:space="preserve">       '* wsAI.Range("O15").Value = "Kill"</t>
  </si>
  <si>
    <t xml:space="preserve">        With ws</t>
  </si>
  <si>
    <t xml:space="preserve">            If wsAI.Range("P17") = "Header" Then</t>
  </si>
  <si>
    <t xml:space="preserve">                .PageSetup.RightHeader = HFString</t>
  </si>
  <si>
    <t xml:space="preserve">                .PageSetup.RightFooter = HFString</t>
  </si>
  <si>
    <t xml:space="preserve">               .PageSetup.PrintArea = ws.Range("A1:" &amp; CodeColLtr &amp; NumLines).Address</t>
  </si>
  <si>
    <t xml:space="preserve">               .PageSetup.PrintTitleRows = ws.Rows("$1:$1").Address</t>
  </si>
  <si>
    <t xml:space="preserve">               '* .PrintOut preview:=True</t>
  </si>
  <si>
    <t>*                Msg1 = MsgBox("Do you want to print now ?", vbYesNo)</t>
  </si>
  <si>
    <t>*                If Msg1 = vbYes Then</t>
  </si>
  <si>
    <t>*                    '*Set switch to allow printing</t>
  </si>
  <si>
    <t>*                    wsAI.Range("O15").Value = "Print"</t>
  </si>
  <si>
    <t xml:space="preserve">                    'Determine what to print</t>
  </si>
  <si>
    <t xml:space="preserve">                    If RngToPrnt = "All" Or RngToPrnt = "" Then</t>
  </si>
  <si>
    <t xml:space="preserve">                      .PrintOut</t>
  </si>
  <si>
    <t xml:space="preserve">                    Else</t>
  </si>
  <si>
    <t xml:space="preserve">                     Fnddash = InStr(1, RngToPrnt, "-")</t>
  </si>
  <si>
    <t xml:space="preserve">                        If Fnddash &gt; 0 Then</t>
  </si>
  <si>
    <t xml:space="preserve">                          PrntStrt = Left(RngToPrnt, (Fnddash - 1))</t>
  </si>
  <si>
    <t xml:space="preserve">                          PrntEnd = Right(RngToPrnt, (Len(RngToPrnt) - Fnddash))</t>
  </si>
  <si>
    <t xml:space="preserve">                        Else</t>
  </si>
  <si>
    <t xml:space="preserve">                          PrntStrt = RngToPrnt</t>
  </si>
  <si>
    <t xml:space="preserve">                          PrntEnd = RngToPrnt</t>
  </si>
  <si>
    <t xml:space="preserve">                        End If</t>
  </si>
  <si>
    <t xml:space="preserve">                    End If</t>
  </si>
  <si>
    <t xml:space="preserve">               '* Else</t>
  </si>
  <si>
    <t xml:space="preserve">                '*End If</t>
  </si>
  <si>
    <t xml:space="preserve">                '*wsAI.Range("O15").Value = "Print"</t>
  </si>
  <si>
    <t xml:space="preserve">        Sub Create_Print_Button()</t>
  </si>
  <si>
    <t xml:space="preserve">       Dim t As Range</t>
  </si>
  <si>
    <t xml:space="preserve">       Dim btn As Button</t>
  </si>
  <si>
    <t xml:space="preserve">       Dim wsAI As Worksheet</t>
  </si>
  <si>
    <t xml:space="preserve">       Dim MapCols As Integer</t>
  </si>
  <si>
    <t xml:space="preserve">     Application.ScreenUpdating = False</t>
  </si>
  <si>
    <t xml:space="preserve">    Set wsAI = ThisWorkbook.Sheets("Color Sheet")</t>
  </si>
  <si>
    <t xml:space="preserve">    If wsAI.Range("Q8") = "Yes" Then MapCols = 4</t>
  </si>
  <si>
    <t xml:space="preserve">    If wsAI.Range("Q11") = "Yes" Then MapCols = MapCols + 8</t>
  </si>
  <si>
    <t xml:space="preserve">    Set t = Sheets("Print Module").Range(Cells(2, MapCols + 4), Cells(3, MapCols + 5))</t>
  </si>
  <si>
    <t xml:space="preserve">    Set btn = Sheets("Print Module").Buttons.Add(t.Left, t.Top, t.Width, t.Height)</t>
  </si>
  <si>
    <t xml:space="preserve">    With btn</t>
  </si>
  <si>
    <t xml:space="preserve">      .OnAction = "SetUpForPrint"</t>
  </si>
  <si>
    <t xml:space="preserve">      .Caption = "Print "</t>
  </si>
  <si>
    <t xml:space="preserve">      .Name = "Btn"</t>
  </si>
  <si>
    <t xml:space="preserve">    End With</t>
  </si>
  <si>
    <t xml:space="preserve">  Application.ScreenUpdating = True</t>
  </si>
  <si>
    <t xml:space="preserve">         Sub Create_Return_Button()</t>
  </si>
  <si>
    <t xml:space="preserve">        Dim t As Range</t>
  </si>
  <si>
    <t xml:space="preserve">        Dim btn As Button</t>
  </si>
  <si>
    <t xml:space="preserve">         Application.ScreenUpdating = False</t>
  </si>
  <si>
    <t xml:space="preserve">     Set wsAI = ThisWorkbook.Sheets("Color Sheet")</t>
  </si>
  <si>
    <t xml:space="preserve">    Set t = Sheets("Print Module").Range(Cells(6, MapCols + 4), Cells(7, MapCols + 7))</t>
  </si>
  <si>
    <t xml:space="preserve">      .OnAction = "PrintSetup_Click"</t>
  </si>
  <si>
    <t xml:space="preserve">      .Caption = "Return to Print Setup "</t>
  </si>
  <si>
    <t xml:space="preserve">      .Name = "Btn1"</t>
  </si>
  <si>
    <t>Another problem was I was calling the Continue process sub from the userform code</t>
  </si>
  <si>
    <t>in uf_PrintControls this caused sort of a loop feedback which made the continur process</t>
  </si>
  <si>
    <t xml:space="preserve">sub run twice. </t>
  </si>
  <si>
    <t>Also added monitor for CreatePrintMod so you can see where you are in the process</t>
  </si>
  <si>
    <t xml:space="preserve">        DoEvents</t>
  </si>
  <si>
    <t xml:space="preserve">        '*Clear tracking data cells</t>
  </si>
  <si>
    <t xml:space="preserve">        wsPrnt.Range("S5:T6").ClearContents</t>
  </si>
  <si>
    <t xml:space="preserve">        Dim Btm As Integer</t>
  </si>
  <si>
    <t xml:space="preserve">        Btm = UBound(CodeLineArry)</t>
  </si>
  <si>
    <t xml:space="preserve">        Sheets("Print Module").Range("A1:A" &amp; Btm) = WorksheetFunction.Transpose(CodeLineArry)</t>
  </si>
  <si>
    <t>Also sped up moving CodeLnArry to Print Module using transpose vs looping thru.</t>
  </si>
  <si>
    <t>v2.3</t>
  </si>
  <si>
    <t>Ln #</t>
  </si>
  <si>
    <t xml:space="preserve">            wsPrnt.Range(Codecol &amp; i + 2).Font.Size = LnFontSz</t>
  </si>
  <si>
    <t xml:space="preserve">            wsPrnt.Range(Codecol &amp; i + 2).Font.Color = ColorArry(LnFontColor)</t>
  </si>
  <si>
    <t>C:\Users\Jim Horan\Documents\My Documents\JimExcel\Flow Chart</t>
  </si>
  <si>
    <t xml:space="preserve">         '*Application.ScreenUpdating = False</t>
  </si>
  <si>
    <t xml:space="preserve">                      .PrintOut From:=PrntStrt, to:=PrntEnd</t>
  </si>
  <si>
    <t xml:space="preserve">        If i Mod 100 = 0 Then</t>
  </si>
  <si>
    <t xml:space="preserve">        Dim Num As Integer</t>
  </si>
  <si>
    <t xml:space="preserve">        '*Start Processing</t>
  </si>
  <si>
    <t xml:space="preserve">         '*Progress Message</t>
  </si>
  <si>
    <t xml:space="preserve">        Num = Int(i / arrylen * 100)</t>
  </si>
  <si>
    <t xml:space="preserve">        Call ProgressMessage(Num)</t>
  </si>
  <si>
    <t xml:space="preserve">        Unload uf_ProgressMessage</t>
  </si>
  <si>
    <t xml:space="preserve">        '*Progress Message</t>
  </si>
  <si>
    <t xml:space="preserve">        Application.ScreenUpdating = False</t>
  </si>
  <si>
    <t xml:space="preserve">Previous progress messages were working to my liking . I used and old sub </t>
  </si>
  <si>
    <t xml:space="preserve">Progress Message in Get workbook Components but added DoEvents </t>
  </si>
  <si>
    <t>to show progress messages.</t>
  </si>
  <si>
    <t>v2.4</t>
  </si>
  <si>
    <t>Print VB Components Addin V2.4.xlsm</t>
  </si>
  <si>
    <t xml:space="preserve">        Num = 1</t>
  </si>
  <si>
    <t xml:space="preserve">        If i = 1 Then Call ProgressMessage(Num)</t>
  </si>
  <si>
    <t>Sheet8.cls</t>
  </si>
  <si>
    <t xml:space="preserve">        Application.Calculation = xlManual</t>
  </si>
  <si>
    <t xml:space="preserve">        Application.Calculation = xlAutomatic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</si>
</sst>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6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6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000080"/>
      <name val="Calibri"/>
      <family val="2"/>
      <scheme val="minor"/>
    </font>
    <font>
      <sz val="11"/>
      <color rgb="FF808000"/>
      <name val="Calibri"/>
      <family val="2"/>
      <scheme val="minor"/>
    </font>
    <font>
      <sz val="11"/>
      <color rgb="FF800080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rgb="FFC0C0C0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rgb="FF9999FF"/>
      <name val="Calibri"/>
      <family val="2"/>
      <scheme val="minor"/>
    </font>
    <font>
      <sz val="11"/>
      <color rgb="FF993366"/>
      <name val="Calibri"/>
      <family val="2"/>
      <scheme val="minor"/>
    </font>
    <font>
      <sz val="11"/>
      <color rgb="FFFFFFCC"/>
      <name val="Calibri"/>
      <family val="2"/>
      <scheme val="minor"/>
    </font>
    <font>
      <sz val="11"/>
      <color rgb="FFCCFFFF"/>
      <name val="Calibri"/>
      <family val="2"/>
      <scheme val="minor"/>
    </font>
    <font>
      <sz val="11"/>
      <color rgb="FF660066"/>
      <name val="Calibri"/>
      <family val="2"/>
      <scheme val="minor"/>
    </font>
    <font>
      <sz val="11"/>
      <color rgb="FFFF8080"/>
      <name val="Calibri"/>
      <family val="2"/>
      <scheme val="minor"/>
    </font>
    <font>
      <sz val="11"/>
      <color rgb="FF0066CC"/>
      <name val="Calibri"/>
      <family val="2"/>
      <scheme val="minor"/>
    </font>
    <font>
      <sz val="11"/>
      <color rgb="FFCCCCFF"/>
      <name val="Calibri"/>
      <family val="2"/>
      <scheme val="minor"/>
    </font>
    <font>
      <sz val="11"/>
      <color rgb="FF00CCFF"/>
      <name val="Calibri"/>
      <family val="2"/>
      <scheme val="minor"/>
    </font>
    <font>
      <sz val="11"/>
      <color rgb="FFCCFFCC"/>
      <name val="Calibri"/>
      <family val="2"/>
      <scheme val="minor"/>
    </font>
    <font>
      <sz val="11"/>
      <color rgb="FFFFFF99"/>
      <name val="Calibri"/>
      <family val="2"/>
      <scheme val="minor"/>
    </font>
    <font>
      <sz val="11"/>
      <color rgb="FF99CCFF"/>
      <name val="Calibri"/>
      <family val="2"/>
      <scheme val="minor"/>
    </font>
    <font>
      <sz val="11"/>
      <color rgb="FFFF99CC"/>
      <name val="Calibri"/>
      <family val="2"/>
      <scheme val="minor"/>
    </font>
    <font>
      <sz val="11"/>
      <color rgb="FFCC99FF"/>
      <name val="Calibri"/>
      <family val="2"/>
      <scheme val="minor"/>
    </font>
    <font>
      <sz val="11"/>
      <color rgb="FFFFCC99"/>
      <name val="Calibri"/>
      <family val="2"/>
      <scheme val="minor"/>
    </font>
    <font>
      <sz val="11"/>
      <color rgb="FF3366FF"/>
      <name val="Calibri"/>
      <family val="2"/>
      <scheme val="minor"/>
    </font>
    <font>
      <sz val="11"/>
      <color rgb="FF33CCCC"/>
      <name val="Calibri"/>
      <family val="2"/>
      <scheme val="minor"/>
    </font>
    <font>
      <sz val="11"/>
      <color rgb="FF99CC00"/>
      <name val="Calibri"/>
      <family val="2"/>
      <scheme val="minor"/>
    </font>
    <font>
      <sz val="11"/>
      <color rgb="FFFFCC00"/>
      <name val="Calibri"/>
      <family val="2"/>
      <scheme val="minor"/>
    </font>
    <font>
      <sz val="11"/>
      <color rgb="FFFF9900"/>
      <name val="Calibri"/>
      <family val="2"/>
      <scheme val="minor"/>
    </font>
    <font>
      <sz val="11"/>
      <color rgb="FFFF6600"/>
      <name val="Calibri"/>
      <family val="2"/>
      <scheme val="minor"/>
    </font>
    <font>
      <sz val="11"/>
      <color rgb="FF666699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003366"/>
      <name val="Calibri"/>
      <family val="2"/>
      <scheme val="minor"/>
    </font>
    <font>
      <sz val="11"/>
      <color rgb="FF339966"/>
      <name val="Calibri"/>
      <family val="2"/>
      <scheme val="minor"/>
    </font>
    <font>
      <sz val="11"/>
      <color rgb="FF003300"/>
      <name val="Calibri"/>
      <family val="2"/>
      <scheme val="minor"/>
    </font>
    <font>
      <sz val="11"/>
      <color rgb="FF333300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333399"/>
      <name val="Calibri"/>
      <family val="2"/>
      <scheme val="minor"/>
    </font>
    <font>
      <sz val="11"/>
      <color rgb="FF33333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ahoma"/>
      <family val="2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92D05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Tahoma"/>
      <family val="2"/>
    </font>
    <font>
      <sz val="16"/>
      <color rgb="FFFF00FF"/>
      <name val="Tahoma"/>
      <family val="2"/>
    </font>
    <font>
      <sz val="10"/>
      <color rgb="FF000000"/>
      <name val="Tahoma"/>
      <family val="2"/>
    </font>
    <font>
      <sz val="10"/>
      <color rgb="FF99CC00"/>
      <name val="Tahoma"/>
      <family val="2"/>
    </font>
    <font>
      <sz val="12"/>
      <color rgb="FFFF0000"/>
      <name val="Tahoma"/>
      <family val="2"/>
    </font>
    <font>
      <sz val="12"/>
      <color rgb="FF000000"/>
      <name val="Tahoma"/>
      <family val="2"/>
    </font>
    <font>
      <sz val="13"/>
      <color rgb="FFFF0000"/>
      <name val="Tahoma"/>
      <family val="2"/>
    </font>
    <font>
      <sz val="12"/>
      <color rgb="FF00FF00"/>
      <name val="Tahoma"/>
      <family val="2"/>
    </font>
    <font>
      <sz val="13"/>
      <color rgb="FF00FF00"/>
      <name val="Tahoma"/>
      <family val="2"/>
    </font>
    <font>
      <sz val="11"/>
      <color rgb="FF00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33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6" fillId="0" borderId="0" applyNumberFormat="0" applyFill="0" applyBorder="0" applyAlignment="0" applyProtection="0"/>
  </cellStyleXfs>
  <cellXfs count="14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quotePrefix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0" fontId="2" fillId="0" borderId="0" xfId="0" applyFont="1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NumberFormat="1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2" borderId="1" xfId="0" applyFill="1" applyBorder="1" applyAlignment="1">
      <alignment vertical="center" wrapText="1"/>
    </xf>
    <xf numFmtId="0" fontId="56" fillId="2" borderId="1" xfId="1" applyFill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56" fillId="2" borderId="1" xfId="1" applyFill="1" applyBorder="1" applyAlignment="1">
      <alignment horizontal="right" vertical="center" wrapText="1"/>
    </xf>
    <xf numFmtId="0" fontId="0" fillId="2" borderId="1" xfId="0" applyFill="1" applyBorder="1" applyAlignment="1">
      <alignment horizontal="right" vertical="center" wrapText="1"/>
    </xf>
    <xf numFmtId="0" fontId="10" fillId="2" borderId="1" xfId="0" applyFont="1" applyFill="1" applyBorder="1" applyAlignment="1">
      <alignment horizontal="right" vertical="center" wrapText="1"/>
    </xf>
    <xf numFmtId="0" fontId="11" fillId="2" borderId="1" xfId="0" applyFont="1" applyFill="1" applyBorder="1" applyAlignment="1">
      <alignment horizontal="right" vertical="center" wrapText="1"/>
    </xf>
    <xf numFmtId="0" fontId="2" fillId="2" borderId="1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vertical="center" wrapText="1"/>
    </xf>
    <xf numFmtId="0" fontId="12" fillId="2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8" fillId="2" borderId="1" xfId="0" applyFont="1" applyFill="1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13" fillId="2" borderId="1" xfId="0" applyFont="1" applyFill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0" fontId="14" fillId="2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vertical="center" wrapText="1"/>
    </xf>
    <xf numFmtId="0" fontId="15" fillId="2" borderId="1" xfId="0" applyFont="1" applyFill="1" applyBorder="1" applyAlignment="1">
      <alignment vertical="center" wrapText="1"/>
    </xf>
    <xf numFmtId="0" fontId="0" fillId="8" borderId="1" xfId="0" applyFill="1" applyBorder="1" applyAlignment="1">
      <alignment vertical="center" wrapText="1"/>
    </xf>
    <xf numFmtId="0" fontId="16" fillId="2" borderId="1" xfId="0" applyFont="1" applyFill="1" applyBorder="1" applyAlignment="1">
      <alignment vertical="center" wrapText="1"/>
    </xf>
    <xf numFmtId="0" fontId="0" fillId="9" borderId="1" xfId="0" applyFill="1" applyBorder="1" applyAlignment="1">
      <alignment vertical="center" wrapText="1"/>
    </xf>
    <xf numFmtId="0" fontId="17" fillId="2" borderId="1" xfId="0" applyFont="1" applyFill="1" applyBorder="1" applyAlignment="1">
      <alignment vertical="center" wrapText="1"/>
    </xf>
    <xf numFmtId="0" fontId="0" fillId="10" borderId="1" xfId="0" applyFill="1" applyBorder="1" applyAlignment="1">
      <alignment vertical="center" wrapText="1"/>
    </xf>
    <xf numFmtId="0" fontId="18" fillId="2" borderId="1" xfId="0" applyFont="1" applyFill="1" applyBorder="1" applyAlignment="1">
      <alignment vertical="center" wrapText="1"/>
    </xf>
    <xf numFmtId="0" fontId="0" fillId="11" borderId="1" xfId="0" applyFill="1" applyBorder="1" applyAlignment="1">
      <alignment vertical="center" wrapText="1"/>
    </xf>
    <xf numFmtId="0" fontId="19" fillId="2" borderId="1" xfId="0" applyFont="1" applyFill="1" applyBorder="1" applyAlignment="1">
      <alignment vertical="center" wrapText="1"/>
    </xf>
    <xf numFmtId="0" fontId="0" fillId="12" borderId="1" xfId="0" applyFill="1" applyBorder="1" applyAlignment="1">
      <alignment vertical="center" wrapText="1"/>
    </xf>
    <xf numFmtId="0" fontId="20" fillId="2" borderId="1" xfId="0" applyFont="1" applyFill="1" applyBorder="1" applyAlignment="1">
      <alignment vertical="center" wrapText="1"/>
    </xf>
    <xf numFmtId="0" fontId="0" fillId="13" borderId="1" xfId="0" applyFill="1" applyBorder="1" applyAlignment="1">
      <alignment vertical="center" wrapText="1"/>
    </xf>
    <xf numFmtId="0" fontId="21" fillId="2" borderId="1" xfId="0" applyFont="1" applyFill="1" applyBorder="1" applyAlignment="1">
      <alignment vertical="center" wrapText="1"/>
    </xf>
    <xf numFmtId="0" fontId="0" fillId="14" borderId="1" xfId="0" applyFill="1" applyBorder="1" applyAlignment="1">
      <alignment vertical="center" wrapText="1"/>
    </xf>
    <xf numFmtId="0" fontId="22" fillId="2" borderId="1" xfId="0" applyFont="1" applyFill="1" applyBorder="1" applyAlignment="1">
      <alignment vertical="center" wrapText="1"/>
    </xf>
    <xf numFmtId="0" fontId="0" fillId="15" borderId="1" xfId="0" applyFill="1" applyBorder="1" applyAlignment="1">
      <alignment vertical="center" wrapText="1"/>
    </xf>
    <xf numFmtId="0" fontId="23" fillId="2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0" fontId="24" fillId="2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5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6" fillId="2" borderId="1" xfId="0" applyFont="1" applyFill="1" applyBorder="1" applyAlignment="1">
      <alignment vertical="center" wrapText="1"/>
    </xf>
    <xf numFmtId="0" fontId="0" fillId="19" borderId="1" xfId="0" applyFill="1" applyBorder="1" applyAlignment="1">
      <alignment vertical="center" wrapText="1"/>
    </xf>
    <xf numFmtId="0" fontId="27" fillId="2" borderId="1" xfId="0" applyFont="1" applyFill="1" applyBorder="1" applyAlignment="1">
      <alignment vertical="center" wrapText="1"/>
    </xf>
    <xf numFmtId="0" fontId="0" fillId="20" borderId="1" xfId="0" applyFill="1" applyBorder="1" applyAlignment="1">
      <alignment vertical="center" wrapText="1"/>
    </xf>
    <xf numFmtId="0" fontId="28" fillId="2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29" fillId="2" borderId="1" xfId="0" applyFont="1" applyFill="1" applyBorder="1" applyAlignment="1">
      <alignment vertical="center" wrapText="1"/>
    </xf>
    <xf numFmtId="0" fontId="0" fillId="22" borderId="1" xfId="0" applyFill="1" applyBorder="1" applyAlignment="1">
      <alignment vertical="center" wrapText="1"/>
    </xf>
    <xf numFmtId="0" fontId="30" fillId="2" borderId="1" xfId="0" applyFont="1" applyFill="1" applyBorder="1" applyAlignment="1">
      <alignment vertical="center" wrapText="1"/>
    </xf>
    <xf numFmtId="0" fontId="0" fillId="23" borderId="1" xfId="0" applyFill="1" applyBorder="1" applyAlignment="1">
      <alignment vertical="center" wrapText="1"/>
    </xf>
    <xf numFmtId="0" fontId="31" fillId="2" borderId="1" xfId="0" applyFont="1" applyFill="1" applyBorder="1" applyAlignment="1">
      <alignment vertical="center" wrapText="1"/>
    </xf>
    <xf numFmtId="0" fontId="0" fillId="24" borderId="1" xfId="0" applyFill="1" applyBorder="1" applyAlignment="1">
      <alignment vertical="center" wrapText="1"/>
    </xf>
    <xf numFmtId="0" fontId="32" fillId="2" borderId="1" xfId="0" applyFont="1" applyFill="1" applyBorder="1" applyAlignment="1">
      <alignment vertical="center" wrapText="1"/>
    </xf>
    <xf numFmtId="0" fontId="0" fillId="25" borderId="1" xfId="0" applyFill="1" applyBorder="1" applyAlignment="1">
      <alignment vertical="center" wrapText="1"/>
    </xf>
    <xf numFmtId="0" fontId="33" fillId="2" borderId="1" xfId="0" applyFont="1" applyFill="1" applyBorder="1" applyAlignment="1">
      <alignment vertical="center" wrapText="1"/>
    </xf>
    <xf numFmtId="0" fontId="0" fillId="26" borderId="1" xfId="0" applyFill="1" applyBorder="1" applyAlignment="1">
      <alignment vertical="center" wrapText="1"/>
    </xf>
    <xf numFmtId="0" fontId="34" fillId="2" borderId="1" xfId="0" applyFont="1" applyFill="1" applyBorder="1" applyAlignment="1">
      <alignment vertical="center" wrapText="1"/>
    </xf>
    <xf numFmtId="0" fontId="0" fillId="27" borderId="1" xfId="0" applyFill="1" applyBorder="1" applyAlignment="1">
      <alignment vertical="center" wrapText="1"/>
    </xf>
    <xf numFmtId="0" fontId="35" fillId="2" borderId="1" xfId="0" applyFont="1" applyFill="1" applyBorder="1" applyAlignment="1">
      <alignment vertical="center" wrapText="1"/>
    </xf>
    <xf numFmtId="0" fontId="0" fillId="28" borderId="1" xfId="0" applyFill="1" applyBorder="1" applyAlignment="1">
      <alignment vertical="center" wrapText="1"/>
    </xf>
    <xf numFmtId="0" fontId="36" fillId="2" borderId="1" xfId="0" applyFont="1" applyFill="1" applyBorder="1" applyAlignment="1">
      <alignment vertical="center" wrapText="1"/>
    </xf>
    <xf numFmtId="0" fontId="0" fillId="29" borderId="1" xfId="0" applyFill="1" applyBorder="1" applyAlignment="1">
      <alignment vertical="center" wrapText="1"/>
    </xf>
    <xf numFmtId="0" fontId="37" fillId="2" borderId="1" xfId="0" applyFont="1" applyFill="1" applyBorder="1" applyAlignment="1">
      <alignment vertical="center" wrapText="1"/>
    </xf>
    <xf numFmtId="0" fontId="0" fillId="30" borderId="1" xfId="0" applyFill="1" applyBorder="1" applyAlignment="1">
      <alignment vertical="center" wrapText="1"/>
    </xf>
    <xf numFmtId="0" fontId="38" fillId="2" borderId="1" xfId="0" applyFont="1" applyFill="1" applyBorder="1" applyAlignment="1">
      <alignment vertical="center" wrapText="1"/>
    </xf>
    <xf numFmtId="0" fontId="0" fillId="31" borderId="1" xfId="0" applyFill="1" applyBorder="1" applyAlignment="1">
      <alignment vertical="center" wrapText="1"/>
    </xf>
    <xf numFmtId="0" fontId="39" fillId="2" borderId="1" xfId="0" applyFont="1" applyFill="1" applyBorder="1" applyAlignment="1">
      <alignment vertical="center" wrapText="1"/>
    </xf>
    <xf numFmtId="0" fontId="0" fillId="32" borderId="1" xfId="0" applyFill="1" applyBorder="1" applyAlignment="1">
      <alignment vertical="center" wrapText="1"/>
    </xf>
    <xf numFmtId="0" fontId="40" fillId="2" borderId="1" xfId="0" applyFont="1" applyFill="1" applyBorder="1" applyAlignment="1">
      <alignment vertical="center" wrapText="1"/>
    </xf>
    <xf numFmtId="0" fontId="0" fillId="33" borderId="1" xfId="0" applyFill="1" applyBorder="1" applyAlignment="1">
      <alignment vertical="center" wrapText="1"/>
    </xf>
    <xf numFmtId="0" fontId="41" fillId="2" borderId="1" xfId="0" applyFont="1" applyFill="1" applyBorder="1" applyAlignment="1">
      <alignment vertical="center" wrapText="1"/>
    </xf>
    <xf numFmtId="0" fontId="0" fillId="34" borderId="1" xfId="0" applyFill="1" applyBorder="1" applyAlignment="1">
      <alignment vertical="center" wrapText="1"/>
    </xf>
    <xf numFmtId="0" fontId="42" fillId="2" borderId="1" xfId="0" applyFont="1" applyFill="1" applyBorder="1" applyAlignment="1">
      <alignment vertical="center" wrapText="1"/>
    </xf>
    <xf numFmtId="0" fontId="0" fillId="35" borderId="1" xfId="0" applyFill="1" applyBorder="1" applyAlignment="1">
      <alignment vertical="center" wrapText="1"/>
    </xf>
    <xf numFmtId="0" fontId="43" fillId="2" borderId="1" xfId="0" applyFont="1" applyFill="1" applyBorder="1" applyAlignment="1">
      <alignment vertical="center" wrapText="1"/>
    </xf>
    <xf numFmtId="0" fontId="0" fillId="36" borderId="1" xfId="0" applyFill="1" applyBorder="1" applyAlignment="1">
      <alignment vertical="center" wrapText="1"/>
    </xf>
    <xf numFmtId="0" fontId="44" fillId="2" borderId="1" xfId="0" applyFont="1" applyFill="1" applyBorder="1" applyAlignment="1">
      <alignment vertical="center" wrapText="1"/>
    </xf>
    <xf numFmtId="0" fontId="0" fillId="37" borderId="1" xfId="0" applyFill="1" applyBorder="1" applyAlignment="1">
      <alignment vertical="center" wrapText="1"/>
    </xf>
    <xf numFmtId="0" fontId="45" fillId="2" borderId="1" xfId="0" applyFont="1" applyFill="1" applyBorder="1" applyAlignment="1">
      <alignment vertical="center" wrapText="1"/>
    </xf>
    <xf numFmtId="0" fontId="0" fillId="38" borderId="1" xfId="0" applyFill="1" applyBorder="1" applyAlignment="1">
      <alignment vertical="center" wrapText="1"/>
    </xf>
    <xf numFmtId="0" fontId="46" fillId="2" borderId="1" xfId="0" applyFont="1" applyFill="1" applyBorder="1" applyAlignment="1">
      <alignment vertical="center" wrapText="1"/>
    </xf>
    <xf numFmtId="0" fontId="0" fillId="39" borderId="1" xfId="0" applyFill="1" applyBorder="1" applyAlignment="1">
      <alignment vertical="center" wrapText="1"/>
    </xf>
    <xf numFmtId="0" fontId="47" fillId="2" borderId="1" xfId="0" applyFont="1" applyFill="1" applyBorder="1" applyAlignment="1">
      <alignment vertical="center" wrapText="1"/>
    </xf>
    <xf numFmtId="0" fontId="0" fillId="40" borderId="1" xfId="0" applyFill="1" applyBorder="1" applyAlignment="1">
      <alignment vertical="center" wrapText="1"/>
    </xf>
    <xf numFmtId="0" fontId="48" fillId="2" borderId="1" xfId="0" applyFont="1" applyFill="1" applyBorder="1" applyAlignment="1">
      <alignment vertical="center" wrapText="1"/>
    </xf>
    <xf numFmtId="0" fontId="0" fillId="41" borderId="1" xfId="0" applyFill="1" applyBorder="1" applyAlignment="1">
      <alignment vertical="center" wrapText="1"/>
    </xf>
    <xf numFmtId="0" fontId="49" fillId="2" borderId="1" xfId="0" applyFont="1" applyFill="1" applyBorder="1" applyAlignment="1">
      <alignment vertical="center" wrapText="1"/>
    </xf>
    <xf numFmtId="0" fontId="0" fillId="42" borderId="1" xfId="0" applyFill="1" applyBorder="1" applyAlignment="1">
      <alignment vertical="center" wrapText="1"/>
    </xf>
    <xf numFmtId="0" fontId="50" fillId="2" borderId="1" xfId="0" applyFont="1" applyFill="1" applyBorder="1" applyAlignment="1">
      <alignment vertical="center" wrapText="1"/>
    </xf>
    <xf numFmtId="0" fontId="0" fillId="43" borderId="1" xfId="0" applyFill="1" applyBorder="1" applyAlignment="1">
      <alignment vertical="center" wrapText="1"/>
    </xf>
    <xf numFmtId="0" fontId="51" fillId="2" borderId="1" xfId="0" applyFont="1" applyFill="1" applyBorder="1" applyAlignment="1">
      <alignment vertical="center" wrapText="1"/>
    </xf>
    <xf numFmtId="0" fontId="0" fillId="44" borderId="1" xfId="0" applyFill="1" applyBorder="1" applyAlignment="1">
      <alignment vertical="center" wrapText="1"/>
    </xf>
    <xf numFmtId="0" fontId="52" fillId="2" borderId="1" xfId="0" applyFont="1" applyFill="1" applyBorder="1" applyAlignment="1">
      <alignment vertical="center" wrapText="1"/>
    </xf>
    <xf numFmtId="0" fontId="0" fillId="45" borderId="1" xfId="0" applyFill="1" applyBorder="1" applyAlignment="1">
      <alignment vertical="center" wrapText="1"/>
    </xf>
    <xf numFmtId="0" fontId="53" fillId="2" borderId="1" xfId="0" applyFont="1" applyFill="1" applyBorder="1" applyAlignment="1">
      <alignment vertical="center" wrapText="1"/>
    </xf>
    <xf numFmtId="0" fontId="0" fillId="46" borderId="1" xfId="0" applyFill="1" applyBorder="1" applyAlignment="1">
      <alignment vertical="center" wrapText="1"/>
    </xf>
    <xf numFmtId="0" fontId="54" fillId="2" borderId="1" xfId="0" applyFont="1" applyFill="1" applyBorder="1" applyAlignment="1">
      <alignment vertical="center" wrapText="1"/>
    </xf>
    <xf numFmtId="0" fontId="0" fillId="47" borderId="1" xfId="0" applyFill="1" applyBorder="1" applyAlignment="1">
      <alignment vertical="center" wrapText="1"/>
    </xf>
    <xf numFmtId="0" fontId="55" fillId="2" borderId="1" xfId="0" applyFont="1" applyFill="1" applyBorder="1" applyAlignment="1">
      <alignment vertical="center" wrapText="1"/>
    </xf>
    <xf numFmtId="0" fontId="0" fillId="0" borderId="0" xfId="0" applyAlignment="1">
      <alignment horizontal="justify" wrapText="1"/>
    </xf>
    <xf numFmtId="0" fontId="0" fillId="0" borderId="0" xfId="0" quotePrefix="1" applyAlignment="1">
      <alignment horizontal="justify" wrapText="1"/>
    </xf>
    <xf numFmtId="0" fontId="57" fillId="0" borderId="0" xfId="0" applyFont="1" applyAlignment="1">
      <alignment horizontal="left" wrapText="1"/>
    </xf>
    <xf numFmtId="0" fontId="2" fillId="0" borderId="0" xfId="0" applyFont="1" applyAlignment="1">
      <alignment horizontal="justify" wrapText="1"/>
    </xf>
    <xf numFmtId="0" fontId="58" fillId="0" borderId="0" xfId="0" applyFont="1"/>
    <xf numFmtId="0" fontId="59" fillId="0" borderId="0" xfId="0" applyFont="1"/>
    <xf numFmtId="0" fontId="59" fillId="0" borderId="0" xfId="0" applyFont="1" applyAlignment="1">
      <alignment horizontal="center"/>
    </xf>
    <xf numFmtId="49" fontId="0" fillId="0" borderId="0" xfId="0" applyNumberFormat="1"/>
    <xf numFmtId="0" fontId="60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3" fillId="0" borderId="0" xfId="0" applyFont="1"/>
    <xf numFmtId="0" fontId="64" fillId="0" borderId="0" xfId="0" applyFont="1"/>
    <xf numFmtId="22" fontId="0" fillId="0" borderId="0" xfId="0" applyNumberFormat="1"/>
    <xf numFmtId="0" fontId="66" fillId="0" borderId="0" xfId="0" applyFont="1" applyAlignment="1">
      <alignment horizontal="center" wrapText="1"/>
    </xf>
    <xf numFmtId="0" fontId="57" fillId="0" borderId="0" xfId="0" applyFont="1" applyAlignment="1">
      <alignment wrapText="1"/>
    </xf>
    <xf numFmtId="0" fontId="67" fillId="0" borderId="0" xfId="0" applyFont="1" applyAlignment="1">
      <alignment wrapText="1"/>
    </xf>
    <xf numFmtId="0" fontId="65" fillId="0" borderId="0" xfId="0" applyFont="1"/>
    <xf numFmtId="0" fontId="68" fillId="0" borderId="0" xfId="0" applyFont="1" applyAlignment="1">
      <alignment wrapText="1"/>
    </xf>
    <xf numFmtId="0" fontId="69" fillId="0" borderId="0" xfId="0" applyFont="1" applyAlignment="1">
      <alignment wrapText="1"/>
    </xf>
    <xf numFmtId="0" fontId="70" fillId="0" borderId="0" xfId="0" applyFont="1" applyAlignment="1">
      <alignment wrapText="1"/>
    </xf>
    <xf numFmtId="0" fontId="71" fillId="0" borderId="0" xfId="0" applyFont="1" applyAlignment="1">
      <alignment wrapText="1"/>
    </xf>
    <xf numFmtId="0" fontId="13" fillId="0" borderId="0" xfId="0" applyFont="1"/>
    <xf numFmtId="0" fontId="8" fillId="0" borderId="0" xfId="0" applyFont="1"/>
    <xf numFmtId="0" fontId="72" fillId="0" borderId="0" xfId="0" applyFont="1" applyAlignment="1">
      <alignment wrapText="1"/>
    </xf>
    <xf numFmtId="0" fontId="73" fillId="0" borderId="0" xfId="0" applyFont="1" applyAlignment="1">
      <alignment wrapText="1"/>
    </xf>
    <xf numFmtId="0" fontId="74" fillId="0" borderId="0" xfId="0" applyFont="1" applyAlignment="1">
      <alignment wrapText="1"/>
    </xf>
    <xf numFmtId="0" fontId="69" fillId="0" borderId="0" xfId="0" quotePrefix="1" applyFont="1" applyAlignment="1">
      <alignment wrapText="1"/>
    </xf>
    <xf numFmtId="0" fontId="0" fillId="2" borderId="2" xfId="0" applyFill="1" applyBorder="1" applyAlignment="1">
      <alignment vertical="center" wrapText="1"/>
    </xf>
    <xf numFmtId="0" fontId="0" fillId="2" borderId="3" xfId="0" applyFill="1" applyBorder="1" applyAlignment="1">
      <alignment vertical="center" wrapText="1"/>
    </xf>
    <xf numFmtId="0" fontId="0" fillId="2" borderId="4" xfId="0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13</xdr:row>
          <xdr:rowOff>68580</xdr:rowOff>
        </xdr:from>
        <xdr:to>
          <xdr:col>3</xdr:col>
          <xdr:colOff>548640</xdr:colOff>
          <xdr:row>15</xdr:row>
          <xdr:rowOff>68580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Map Subroutines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18</xdr:row>
          <xdr:rowOff>68580</xdr:rowOff>
        </xdr:from>
        <xdr:to>
          <xdr:col>3</xdr:col>
          <xdr:colOff>548640</xdr:colOff>
          <xdr:row>21</xdr:row>
          <xdr:rowOff>68580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FlowChart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 Subroutine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23</xdr:row>
          <xdr:rowOff>68580</xdr:rowOff>
        </xdr:from>
        <xdr:to>
          <xdr:col>3</xdr:col>
          <xdr:colOff>548640</xdr:colOff>
          <xdr:row>25</xdr:row>
          <xdr:rowOff>68580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7620</xdr:rowOff>
        </xdr:from>
        <xdr:to>
          <xdr:col>4</xdr:col>
          <xdr:colOff>0</xdr:colOff>
          <xdr:row>5</xdr:row>
          <xdr:rowOff>7620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175260</xdr:rowOff>
        </xdr:from>
        <xdr:to>
          <xdr:col>18</xdr:col>
          <xdr:colOff>548640</xdr:colOff>
          <xdr:row>22</xdr:row>
          <xdr:rowOff>91440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144780</xdr:colOff>
          <xdr:row>24</xdr:row>
          <xdr:rowOff>60960</xdr:rowOff>
        </xdr:from>
        <xdr:to>
          <xdr:col>19</xdr:col>
          <xdr:colOff>15240</xdr:colOff>
          <xdr:row>27</xdr:row>
          <xdr:rowOff>30480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Addin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2</xdr:row>
          <xdr:rowOff>91440</xdr:rowOff>
        </xdr:from>
        <xdr:to>
          <xdr:col>16</xdr:col>
          <xdr:colOff>601980</xdr:colOff>
          <xdr:row>6</xdr:row>
          <xdr:rowOff>53340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99329" name="Btn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99330" name="Btn1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Print Setup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dmcritchie.mvps.org/excel/colors.htm" TargetMode="External"/><Relationship Id="rId1" Type="http://schemas.openxmlformats.org/officeDocument/2006/relationships/hyperlink" Target="http://dmcritchie.mvps.org/excel/colors.ht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P1017"/>
  <sheetViews>
    <sheetView topLeftCell="A238" zoomScaleNormal="100" workbookViewId="0">
      <selection activeCell="I266" sqref="I266"/>
    </sheetView>
  </sheetViews>
  <sheetFormatPr defaultRowHeight="14.4" x14ac:dyDescent="0.3"/>
  <cols>
    <col min="3" max="3" width="19.44140625" customWidth="1"/>
    <col min="6" max="6" width="22.77734375" customWidth="1"/>
    <col min="8" max="8" width="28.33203125" customWidth="1"/>
    <col min="9" max="9" width="17.109375" customWidth="1"/>
    <col min="10" max="10" width="18.88671875" customWidth="1"/>
    <col min="11" max="11" width="16.109375" customWidth="1"/>
    <col min="12" max="12" width="16" customWidth="1"/>
  </cols>
  <sheetData>
    <row r="1" spans="1:16" x14ac:dyDescent="0.3">
      <c r="A1" s="5" t="s">
        <v>2533</v>
      </c>
      <c r="B1" s="5"/>
      <c r="C1" s="5"/>
      <c r="D1" s="5"/>
      <c r="E1" s="5"/>
      <c r="F1" s="5"/>
      <c r="G1" s="5"/>
      <c r="H1" s="5"/>
      <c r="J1" t="s">
        <v>225</v>
      </c>
      <c r="K1" t="s">
        <v>226</v>
      </c>
      <c r="L1" t="s">
        <v>227</v>
      </c>
      <c r="P1">
        <v>216</v>
      </c>
    </row>
    <row r="2" spans="1:16" x14ac:dyDescent="0.3">
      <c r="J2" s="3" t="s">
        <v>497</v>
      </c>
      <c r="K2" s="3" t="s">
        <v>498</v>
      </c>
      <c r="L2" t="s">
        <v>499</v>
      </c>
      <c r="P2">
        <v>305</v>
      </c>
    </row>
    <row r="3" spans="1:16" x14ac:dyDescent="0.3">
      <c r="A3" s="5" t="s">
        <v>2473</v>
      </c>
      <c r="D3" s="5" t="s">
        <v>115</v>
      </c>
      <c r="E3" s="5" t="s">
        <v>240</v>
      </c>
      <c r="I3" s="3"/>
      <c r="J3" t="s">
        <v>500</v>
      </c>
      <c r="K3" t="s">
        <v>501</v>
      </c>
      <c r="L3" t="s">
        <v>502</v>
      </c>
    </row>
    <row r="4" spans="1:16" x14ac:dyDescent="0.3">
      <c r="J4" t="s">
        <v>503</v>
      </c>
      <c r="K4" t="s">
        <v>504</v>
      </c>
      <c r="L4" t="s">
        <v>505</v>
      </c>
    </row>
    <row r="5" spans="1:16" x14ac:dyDescent="0.3">
      <c r="J5" t="s">
        <v>506</v>
      </c>
      <c r="K5" s="3" t="s">
        <v>504</v>
      </c>
      <c r="L5" t="s">
        <v>507</v>
      </c>
    </row>
    <row r="6" spans="1:16" x14ac:dyDescent="0.3">
      <c r="J6" t="s">
        <v>508</v>
      </c>
      <c r="K6" t="s">
        <v>509</v>
      </c>
      <c r="L6" t="s">
        <v>2787</v>
      </c>
    </row>
    <row r="7" spans="1:16" x14ac:dyDescent="0.3">
      <c r="A7" s="5" t="s">
        <v>2474</v>
      </c>
      <c r="D7" s="5" t="s">
        <v>115</v>
      </c>
      <c r="E7" s="5" t="s">
        <v>240</v>
      </c>
      <c r="J7" t="s">
        <v>510</v>
      </c>
      <c r="K7" t="s">
        <v>504</v>
      </c>
      <c r="L7" t="s">
        <v>511</v>
      </c>
    </row>
    <row r="8" spans="1:16" x14ac:dyDescent="0.3">
      <c r="A8" s="5"/>
      <c r="D8" s="5"/>
      <c r="E8" s="5"/>
      <c r="J8" t="s">
        <v>512</v>
      </c>
      <c r="K8" t="s">
        <v>504</v>
      </c>
      <c r="L8" t="s">
        <v>228</v>
      </c>
    </row>
    <row r="9" spans="1:16" x14ac:dyDescent="0.3">
      <c r="J9" s="3" t="s">
        <v>513</v>
      </c>
      <c r="K9" s="3" t="s">
        <v>498</v>
      </c>
      <c r="L9" t="s">
        <v>514</v>
      </c>
    </row>
    <row r="10" spans="1:16" x14ac:dyDescent="0.3">
      <c r="J10" s="3" t="s">
        <v>515</v>
      </c>
      <c r="K10" s="3" t="s">
        <v>516</v>
      </c>
      <c r="L10" t="s">
        <v>517</v>
      </c>
    </row>
    <row r="11" spans="1:16" x14ac:dyDescent="0.3">
      <c r="A11" s="5" t="s">
        <v>2475</v>
      </c>
      <c r="D11" s="5" t="s">
        <v>115</v>
      </c>
      <c r="E11" s="5" t="s">
        <v>240</v>
      </c>
      <c r="J11" s="3" t="s">
        <v>518</v>
      </c>
      <c r="K11" s="3" t="s">
        <v>498</v>
      </c>
      <c r="L11" t="s">
        <v>514</v>
      </c>
    </row>
    <row r="12" spans="1:16" x14ac:dyDescent="0.3">
      <c r="J12" s="3" t="s">
        <v>519</v>
      </c>
      <c r="K12" s="3" t="s">
        <v>516</v>
      </c>
      <c r="L12" t="s">
        <v>520</v>
      </c>
    </row>
    <row r="13" spans="1:16" x14ac:dyDescent="0.3">
      <c r="A13" s="5"/>
      <c r="D13" s="5"/>
      <c r="E13" s="5"/>
      <c r="J13" s="3" t="s">
        <v>521</v>
      </c>
      <c r="K13" s="3" t="s">
        <v>498</v>
      </c>
      <c r="L13" t="s">
        <v>522</v>
      </c>
    </row>
    <row r="14" spans="1:16" x14ac:dyDescent="0.3">
      <c r="J14" s="3" t="s">
        <v>523</v>
      </c>
      <c r="K14" s="3" t="s">
        <v>498</v>
      </c>
      <c r="L14" t="s">
        <v>524</v>
      </c>
    </row>
    <row r="15" spans="1:16" x14ac:dyDescent="0.3">
      <c r="A15" s="5" t="s">
        <v>2476</v>
      </c>
      <c r="D15" s="5" t="s">
        <v>115</v>
      </c>
      <c r="E15" s="5" t="s">
        <v>240</v>
      </c>
      <c r="H15" s="3"/>
      <c r="I15" s="3"/>
      <c r="J15" s="3" t="s">
        <v>525</v>
      </c>
      <c r="K15" s="3" t="s">
        <v>498</v>
      </c>
      <c r="L15" t="s">
        <v>526</v>
      </c>
    </row>
    <row r="16" spans="1:16" x14ac:dyDescent="0.3">
      <c r="J16" s="3" t="s">
        <v>527</v>
      </c>
      <c r="K16" s="3" t="s">
        <v>498</v>
      </c>
      <c r="L16" t="s">
        <v>528</v>
      </c>
    </row>
    <row r="17" spans="1:12" x14ac:dyDescent="0.3">
      <c r="J17" s="3" t="s">
        <v>529</v>
      </c>
      <c r="K17" s="3" t="s">
        <v>498</v>
      </c>
      <c r="L17" t="s">
        <v>530</v>
      </c>
    </row>
    <row r="18" spans="1:12" x14ac:dyDescent="0.3">
      <c r="I18" s="3"/>
      <c r="J18" s="3" t="s">
        <v>531</v>
      </c>
      <c r="K18" s="3" t="s">
        <v>498</v>
      </c>
      <c r="L18" t="s">
        <v>532</v>
      </c>
    </row>
    <row r="19" spans="1:12" x14ac:dyDescent="0.3">
      <c r="A19" s="5" t="s">
        <v>2477</v>
      </c>
      <c r="D19" s="5" t="s">
        <v>115</v>
      </c>
      <c r="E19" s="5" t="s">
        <v>240</v>
      </c>
      <c r="J19" s="3" t="s">
        <v>533</v>
      </c>
      <c r="K19" s="3" t="s">
        <v>498</v>
      </c>
      <c r="L19" t="s">
        <v>534</v>
      </c>
    </row>
    <row r="20" spans="1:12" x14ac:dyDescent="0.3">
      <c r="J20" s="3" t="s">
        <v>535</v>
      </c>
      <c r="K20" s="3" t="s">
        <v>498</v>
      </c>
      <c r="L20" t="s">
        <v>536</v>
      </c>
    </row>
    <row r="21" spans="1:12" x14ac:dyDescent="0.3">
      <c r="J21" s="3" t="s">
        <v>537</v>
      </c>
      <c r="K21" s="3" t="s">
        <v>498</v>
      </c>
      <c r="L21" t="s">
        <v>538</v>
      </c>
    </row>
    <row r="22" spans="1:12" x14ac:dyDescent="0.3">
      <c r="A22" s="5"/>
      <c r="D22" s="5"/>
      <c r="E22" s="5"/>
      <c r="J22" s="3" t="s">
        <v>539</v>
      </c>
      <c r="K22" s="3" t="s">
        <v>498</v>
      </c>
      <c r="L22" t="s">
        <v>540</v>
      </c>
    </row>
    <row r="23" spans="1:12" x14ac:dyDescent="0.3">
      <c r="A23" s="5" t="s">
        <v>2478</v>
      </c>
      <c r="D23" s="5" t="s">
        <v>115</v>
      </c>
      <c r="E23" s="5" t="s">
        <v>2566</v>
      </c>
      <c r="H23" s="3"/>
      <c r="I23" s="3"/>
      <c r="J23" s="3" t="s">
        <v>541</v>
      </c>
      <c r="K23" s="3" t="s">
        <v>498</v>
      </c>
      <c r="L23" t="s">
        <v>542</v>
      </c>
    </row>
    <row r="24" spans="1:12" x14ac:dyDescent="0.3">
      <c r="I24" s="3"/>
      <c r="J24" s="3" t="s">
        <v>543</v>
      </c>
      <c r="K24" s="3" t="s">
        <v>498</v>
      </c>
      <c r="L24" t="s">
        <v>544</v>
      </c>
    </row>
    <row r="25" spans="1:12" x14ac:dyDescent="0.3">
      <c r="A25" t="s">
        <v>422</v>
      </c>
      <c r="D25">
        <v>3</v>
      </c>
      <c r="E25">
        <v>371</v>
      </c>
      <c r="F25" t="s">
        <v>421</v>
      </c>
      <c r="G25" t="s">
        <v>235</v>
      </c>
      <c r="J25" s="3" t="s">
        <v>545</v>
      </c>
      <c r="K25" s="3" t="s">
        <v>498</v>
      </c>
      <c r="L25" t="s">
        <v>546</v>
      </c>
    </row>
    <row r="26" spans="1:12" x14ac:dyDescent="0.3">
      <c r="A26" s="5" t="s">
        <v>423</v>
      </c>
      <c r="D26" s="5">
        <v>374</v>
      </c>
      <c r="E26" s="5">
        <v>24</v>
      </c>
      <c r="F26" t="s">
        <v>421</v>
      </c>
      <c r="G26" t="s">
        <v>235</v>
      </c>
      <c r="H26" s="3"/>
      <c r="I26" s="3"/>
      <c r="J26" s="3" t="s">
        <v>547</v>
      </c>
      <c r="K26" s="3" t="s">
        <v>498</v>
      </c>
      <c r="L26" t="s">
        <v>548</v>
      </c>
    </row>
    <row r="27" spans="1:12" x14ac:dyDescent="0.3">
      <c r="A27" t="s">
        <v>424</v>
      </c>
      <c r="D27">
        <v>398</v>
      </c>
      <c r="E27">
        <v>116</v>
      </c>
      <c r="F27" t="s">
        <v>421</v>
      </c>
      <c r="G27" t="s">
        <v>239</v>
      </c>
      <c r="I27" s="3"/>
      <c r="J27" s="3" t="s">
        <v>549</v>
      </c>
      <c r="K27" s="3" t="s">
        <v>498</v>
      </c>
      <c r="L27" t="s">
        <v>550</v>
      </c>
    </row>
    <row r="28" spans="1:12" x14ac:dyDescent="0.3">
      <c r="A28" t="s">
        <v>425</v>
      </c>
      <c r="D28">
        <v>514</v>
      </c>
      <c r="E28">
        <v>125</v>
      </c>
      <c r="F28" t="s">
        <v>421</v>
      </c>
      <c r="G28" t="s">
        <v>239</v>
      </c>
      <c r="H28" s="3"/>
      <c r="I28" s="3"/>
      <c r="J28" s="3" t="s">
        <v>551</v>
      </c>
      <c r="K28" s="3" t="s">
        <v>498</v>
      </c>
      <c r="L28" t="s">
        <v>552</v>
      </c>
    </row>
    <row r="29" spans="1:12" x14ac:dyDescent="0.3">
      <c r="A29" t="s">
        <v>426</v>
      </c>
      <c r="D29">
        <v>639</v>
      </c>
      <c r="E29">
        <v>13</v>
      </c>
      <c r="F29" t="s">
        <v>421</v>
      </c>
      <c r="G29" t="s">
        <v>239</v>
      </c>
      <c r="H29" s="3"/>
      <c r="I29" s="3"/>
      <c r="J29" s="3" t="s">
        <v>553</v>
      </c>
      <c r="K29" s="3" t="s">
        <v>498</v>
      </c>
      <c r="L29" t="s">
        <v>554</v>
      </c>
    </row>
    <row r="30" spans="1:12" x14ac:dyDescent="0.3">
      <c r="A30" t="s">
        <v>427</v>
      </c>
      <c r="D30">
        <v>652</v>
      </c>
      <c r="E30">
        <v>63</v>
      </c>
      <c r="F30" t="s">
        <v>421</v>
      </c>
      <c r="G30" t="s">
        <v>235</v>
      </c>
      <c r="I30" s="3"/>
      <c r="J30" s="3" t="s">
        <v>555</v>
      </c>
      <c r="K30" s="3" t="s">
        <v>498</v>
      </c>
      <c r="L30" t="s">
        <v>556</v>
      </c>
    </row>
    <row r="31" spans="1:12" x14ac:dyDescent="0.3">
      <c r="A31" t="s">
        <v>428</v>
      </c>
      <c r="D31">
        <v>715</v>
      </c>
      <c r="E31">
        <v>13</v>
      </c>
      <c r="F31" t="s">
        <v>421</v>
      </c>
      <c r="G31" t="s">
        <v>235</v>
      </c>
      <c r="I31" s="3"/>
      <c r="J31" s="3" t="s">
        <v>557</v>
      </c>
      <c r="K31" s="3" t="s">
        <v>498</v>
      </c>
      <c r="L31" t="s">
        <v>558</v>
      </c>
    </row>
    <row r="32" spans="1:12" x14ac:dyDescent="0.3">
      <c r="A32" t="s">
        <v>2534</v>
      </c>
      <c r="D32">
        <v>728</v>
      </c>
      <c r="E32">
        <v>25</v>
      </c>
      <c r="F32" t="s">
        <v>421</v>
      </c>
      <c r="G32" t="s">
        <v>235</v>
      </c>
      <c r="J32" s="3" t="s">
        <v>559</v>
      </c>
      <c r="K32" s="3" t="s">
        <v>498</v>
      </c>
      <c r="L32" t="s">
        <v>560</v>
      </c>
    </row>
    <row r="33" spans="1:12" x14ac:dyDescent="0.3">
      <c r="J33" s="3" t="s">
        <v>561</v>
      </c>
      <c r="K33" s="3" t="s">
        <v>498</v>
      </c>
      <c r="L33" t="s">
        <v>562</v>
      </c>
    </row>
    <row r="34" spans="1:12" x14ac:dyDescent="0.3">
      <c r="A34" s="5" t="s">
        <v>2479</v>
      </c>
      <c r="D34" s="5" t="s">
        <v>115</v>
      </c>
      <c r="E34" s="5" t="s">
        <v>429</v>
      </c>
      <c r="J34" s="3" t="s">
        <v>563</v>
      </c>
      <c r="K34" s="3" t="s">
        <v>498</v>
      </c>
      <c r="L34" t="s">
        <v>564</v>
      </c>
    </row>
    <row r="35" spans="1:12" x14ac:dyDescent="0.3">
      <c r="A35" s="5"/>
      <c r="D35" s="5"/>
      <c r="E35" s="5"/>
      <c r="I35" s="3"/>
      <c r="J35" s="3" t="s">
        <v>565</v>
      </c>
      <c r="K35" s="3" t="s">
        <v>498</v>
      </c>
      <c r="L35" t="s">
        <v>566</v>
      </c>
    </row>
    <row r="36" spans="1:12" x14ac:dyDescent="0.3">
      <c r="A36" s="5" t="s">
        <v>371</v>
      </c>
      <c r="D36" s="5">
        <v>6</v>
      </c>
      <c r="E36" s="5">
        <v>42</v>
      </c>
      <c r="F36" t="s">
        <v>430</v>
      </c>
      <c r="G36" t="s">
        <v>235</v>
      </c>
      <c r="J36" s="3" t="s">
        <v>567</v>
      </c>
      <c r="K36" s="3" t="s">
        <v>498</v>
      </c>
      <c r="L36" t="s">
        <v>568</v>
      </c>
    </row>
    <row r="37" spans="1:12" x14ac:dyDescent="0.3">
      <c r="A37" t="s">
        <v>431</v>
      </c>
      <c r="D37">
        <v>48</v>
      </c>
      <c r="E37">
        <v>49</v>
      </c>
      <c r="F37" t="s">
        <v>430</v>
      </c>
      <c r="G37" t="s">
        <v>239</v>
      </c>
      <c r="I37" s="3"/>
      <c r="J37" s="3" t="s">
        <v>569</v>
      </c>
      <c r="K37" s="3" t="s">
        <v>498</v>
      </c>
      <c r="L37" t="s">
        <v>570</v>
      </c>
    </row>
    <row r="38" spans="1:12" x14ac:dyDescent="0.3">
      <c r="A38" t="s">
        <v>432</v>
      </c>
      <c r="D38">
        <v>97</v>
      </c>
      <c r="E38">
        <v>24</v>
      </c>
      <c r="F38" t="s">
        <v>430</v>
      </c>
      <c r="G38" t="s">
        <v>239</v>
      </c>
      <c r="H38" s="3"/>
      <c r="I38" s="3"/>
      <c r="J38" s="3" t="s">
        <v>571</v>
      </c>
      <c r="K38" s="3" t="s">
        <v>498</v>
      </c>
      <c r="L38" t="s">
        <v>572</v>
      </c>
    </row>
    <row r="39" spans="1:12" x14ac:dyDescent="0.3">
      <c r="A39" t="s">
        <v>433</v>
      </c>
      <c r="D39">
        <v>121</v>
      </c>
      <c r="E39">
        <v>89</v>
      </c>
      <c r="F39" t="s">
        <v>430</v>
      </c>
      <c r="G39" t="s">
        <v>235</v>
      </c>
      <c r="J39" s="3" t="s">
        <v>573</v>
      </c>
      <c r="K39" s="3" t="s">
        <v>498</v>
      </c>
      <c r="L39" t="s">
        <v>574</v>
      </c>
    </row>
    <row r="40" spans="1:12" x14ac:dyDescent="0.3">
      <c r="A40" t="s">
        <v>434</v>
      </c>
      <c r="D40">
        <v>210</v>
      </c>
      <c r="E40">
        <v>85</v>
      </c>
      <c r="F40" t="s">
        <v>430</v>
      </c>
      <c r="G40" t="s">
        <v>235</v>
      </c>
      <c r="J40" s="3" t="s">
        <v>575</v>
      </c>
      <c r="K40" s="3" t="s">
        <v>498</v>
      </c>
      <c r="L40" t="s">
        <v>576</v>
      </c>
    </row>
    <row r="41" spans="1:12" x14ac:dyDescent="0.3">
      <c r="A41" t="s">
        <v>435</v>
      </c>
      <c r="D41">
        <v>295</v>
      </c>
      <c r="E41">
        <v>87</v>
      </c>
      <c r="F41" t="s">
        <v>430</v>
      </c>
      <c r="G41" t="s">
        <v>239</v>
      </c>
      <c r="H41" s="3"/>
      <c r="I41" s="3"/>
      <c r="J41" s="3" t="s">
        <v>577</v>
      </c>
      <c r="K41" s="3" t="s">
        <v>498</v>
      </c>
      <c r="L41" t="s">
        <v>578</v>
      </c>
    </row>
    <row r="42" spans="1:12" x14ac:dyDescent="0.3">
      <c r="A42" t="s">
        <v>436</v>
      </c>
      <c r="D42">
        <v>382</v>
      </c>
      <c r="E42">
        <v>11</v>
      </c>
      <c r="F42" t="s">
        <v>430</v>
      </c>
      <c r="G42" t="s">
        <v>235</v>
      </c>
      <c r="H42" s="3"/>
      <c r="I42" s="3"/>
      <c r="J42" s="3" t="s">
        <v>579</v>
      </c>
      <c r="K42" s="3" t="s">
        <v>498</v>
      </c>
      <c r="L42" t="s">
        <v>580</v>
      </c>
    </row>
    <row r="43" spans="1:12" x14ac:dyDescent="0.3">
      <c r="A43" t="s">
        <v>437</v>
      </c>
      <c r="D43">
        <v>393</v>
      </c>
      <c r="E43">
        <v>43</v>
      </c>
      <c r="F43" t="s">
        <v>430</v>
      </c>
      <c r="G43" t="s">
        <v>235</v>
      </c>
      <c r="H43" s="3"/>
      <c r="I43" s="3"/>
      <c r="J43" s="3" t="s">
        <v>581</v>
      </c>
      <c r="K43" s="3" t="s">
        <v>498</v>
      </c>
      <c r="L43" t="s">
        <v>582</v>
      </c>
    </row>
    <row r="44" spans="1:12" x14ac:dyDescent="0.3">
      <c r="H44" s="3"/>
      <c r="I44" s="3"/>
      <c r="J44" s="3" t="s">
        <v>583</v>
      </c>
      <c r="K44" s="3" t="s">
        <v>498</v>
      </c>
      <c r="L44" t="s">
        <v>584</v>
      </c>
    </row>
    <row r="45" spans="1:12" x14ac:dyDescent="0.3">
      <c r="A45" s="5" t="s">
        <v>2480</v>
      </c>
      <c r="D45" s="5" t="s">
        <v>115</v>
      </c>
      <c r="E45" s="5" t="s">
        <v>240</v>
      </c>
      <c r="I45" s="3"/>
      <c r="J45" s="3" t="s">
        <v>585</v>
      </c>
      <c r="K45" s="3" t="s">
        <v>498</v>
      </c>
      <c r="L45" t="s">
        <v>586</v>
      </c>
    </row>
    <row r="46" spans="1:12" x14ac:dyDescent="0.3">
      <c r="A46" s="5"/>
      <c r="D46" s="5"/>
      <c r="E46" s="5"/>
      <c r="J46" s="3" t="s">
        <v>587</v>
      </c>
      <c r="K46" s="3" t="s">
        <v>498</v>
      </c>
      <c r="L46" t="s">
        <v>588</v>
      </c>
    </row>
    <row r="47" spans="1:12" x14ac:dyDescent="0.3">
      <c r="A47" s="5"/>
      <c r="D47" s="5"/>
      <c r="E47" s="5"/>
      <c r="J47" s="3" t="s">
        <v>589</v>
      </c>
      <c r="K47" s="3" t="s">
        <v>498</v>
      </c>
      <c r="L47" t="s">
        <v>590</v>
      </c>
    </row>
    <row r="48" spans="1:12" x14ac:dyDescent="0.3">
      <c r="J48" s="3" t="s">
        <v>591</v>
      </c>
      <c r="K48" s="3" t="s">
        <v>498</v>
      </c>
      <c r="L48" t="s">
        <v>592</v>
      </c>
    </row>
    <row r="49" spans="1:12" x14ac:dyDescent="0.3">
      <c r="A49" s="5" t="s">
        <v>2481</v>
      </c>
      <c r="D49" s="5" t="s">
        <v>115</v>
      </c>
      <c r="E49" s="5" t="s">
        <v>438</v>
      </c>
      <c r="J49" s="3" t="s">
        <v>593</v>
      </c>
      <c r="K49" s="3" t="s">
        <v>498</v>
      </c>
      <c r="L49" t="s">
        <v>594</v>
      </c>
    </row>
    <row r="50" spans="1:12" x14ac:dyDescent="0.3">
      <c r="A50" s="5"/>
      <c r="D50" s="5"/>
      <c r="E50" s="5"/>
      <c r="J50" s="3" t="s">
        <v>595</v>
      </c>
      <c r="K50" s="3" t="s">
        <v>498</v>
      </c>
      <c r="L50" t="s">
        <v>596</v>
      </c>
    </row>
    <row r="51" spans="1:12" x14ac:dyDescent="0.3">
      <c r="A51" s="5" t="s">
        <v>439</v>
      </c>
      <c r="D51" s="5">
        <v>13</v>
      </c>
      <c r="E51" s="5">
        <v>37</v>
      </c>
      <c r="F51" t="s">
        <v>440</v>
      </c>
      <c r="G51" t="s">
        <v>235</v>
      </c>
      <c r="J51" s="3" t="s">
        <v>597</v>
      </c>
      <c r="K51" s="3" t="s">
        <v>498</v>
      </c>
      <c r="L51" t="s">
        <v>598</v>
      </c>
    </row>
    <row r="52" spans="1:12" x14ac:dyDescent="0.3">
      <c r="A52" t="s">
        <v>441</v>
      </c>
      <c r="D52">
        <v>50</v>
      </c>
      <c r="E52">
        <v>26</v>
      </c>
      <c r="F52" t="s">
        <v>440</v>
      </c>
      <c r="G52" t="s">
        <v>239</v>
      </c>
      <c r="J52" s="3" t="s">
        <v>599</v>
      </c>
      <c r="K52" s="3" t="s">
        <v>498</v>
      </c>
      <c r="L52" t="s">
        <v>600</v>
      </c>
    </row>
    <row r="53" spans="1:12" x14ac:dyDescent="0.3">
      <c r="A53" s="5" t="s">
        <v>442</v>
      </c>
      <c r="D53" s="5">
        <v>76</v>
      </c>
      <c r="E53" s="5">
        <v>83</v>
      </c>
      <c r="F53" t="s">
        <v>440</v>
      </c>
      <c r="G53" t="s">
        <v>235</v>
      </c>
      <c r="J53" s="3" t="s">
        <v>601</v>
      </c>
      <c r="K53" s="3" t="s">
        <v>498</v>
      </c>
      <c r="L53" t="s">
        <v>602</v>
      </c>
    </row>
    <row r="54" spans="1:12" x14ac:dyDescent="0.3">
      <c r="A54" t="s">
        <v>443</v>
      </c>
      <c r="D54">
        <v>159</v>
      </c>
      <c r="E54">
        <v>72</v>
      </c>
      <c r="F54" t="s">
        <v>440</v>
      </c>
      <c r="G54" t="s">
        <v>239</v>
      </c>
      <c r="J54" s="3" t="s">
        <v>603</v>
      </c>
      <c r="K54" s="3" t="s">
        <v>498</v>
      </c>
      <c r="L54" t="s">
        <v>604</v>
      </c>
    </row>
    <row r="55" spans="1:12" x14ac:dyDescent="0.3">
      <c r="A55" t="s">
        <v>360</v>
      </c>
      <c r="D55">
        <v>231</v>
      </c>
      <c r="E55">
        <v>21</v>
      </c>
      <c r="F55" t="s">
        <v>440</v>
      </c>
      <c r="G55" t="s">
        <v>235</v>
      </c>
      <c r="J55" s="3" t="s">
        <v>605</v>
      </c>
      <c r="K55" s="3" t="s">
        <v>498</v>
      </c>
      <c r="L55" t="s">
        <v>604</v>
      </c>
    </row>
    <row r="56" spans="1:12" x14ac:dyDescent="0.3">
      <c r="A56" t="s">
        <v>444</v>
      </c>
      <c r="D56">
        <v>252</v>
      </c>
      <c r="E56">
        <v>53</v>
      </c>
      <c r="F56" t="s">
        <v>440</v>
      </c>
      <c r="G56" t="s">
        <v>235</v>
      </c>
      <c r="J56" s="3" t="s">
        <v>606</v>
      </c>
      <c r="K56" s="3" t="s">
        <v>498</v>
      </c>
      <c r="L56" t="s">
        <v>607</v>
      </c>
    </row>
    <row r="57" spans="1:12" x14ac:dyDescent="0.3">
      <c r="A57" s="5" t="s">
        <v>445</v>
      </c>
      <c r="D57" s="5">
        <v>305</v>
      </c>
      <c r="E57" s="5">
        <v>8</v>
      </c>
      <c r="F57" t="s">
        <v>440</v>
      </c>
      <c r="G57" t="s">
        <v>235</v>
      </c>
      <c r="J57" s="3" t="s">
        <v>608</v>
      </c>
      <c r="K57" s="3" t="s">
        <v>498</v>
      </c>
      <c r="L57" t="s">
        <v>609</v>
      </c>
    </row>
    <row r="58" spans="1:12" x14ac:dyDescent="0.3">
      <c r="A58" t="s">
        <v>446</v>
      </c>
      <c r="D58">
        <v>313</v>
      </c>
      <c r="E58">
        <v>33</v>
      </c>
      <c r="F58" t="s">
        <v>440</v>
      </c>
      <c r="G58" t="s">
        <v>235</v>
      </c>
      <c r="J58" s="3" t="s">
        <v>610</v>
      </c>
      <c r="K58" s="3" t="s">
        <v>498</v>
      </c>
      <c r="L58" t="s">
        <v>611</v>
      </c>
    </row>
    <row r="59" spans="1:12" x14ac:dyDescent="0.3">
      <c r="A59" t="s">
        <v>447</v>
      </c>
      <c r="D59">
        <v>346</v>
      </c>
      <c r="E59">
        <v>32</v>
      </c>
      <c r="F59" t="s">
        <v>440</v>
      </c>
      <c r="G59" t="s">
        <v>235</v>
      </c>
      <c r="J59" s="3" t="s">
        <v>612</v>
      </c>
      <c r="K59" s="3" t="s">
        <v>498</v>
      </c>
      <c r="L59" t="s">
        <v>613</v>
      </c>
    </row>
    <row r="60" spans="1:12" x14ac:dyDescent="0.3">
      <c r="A60" t="s">
        <v>448</v>
      </c>
      <c r="D60">
        <v>378</v>
      </c>
      <c r="E60">
        <v>87</v>
      </c>
      <c r="F60" t="s">
        <v>440</v>
      </c>
      <c r="G60" t="s">
        <v>235</v>
      </c>
      <c r="J60" s="3" t="s">
        <v>614</v>
      </c>
      <c r="K60" s="3" t="s">
        <v>498</v>
      </c>
      <c r="L60" t="s">
        <v>613</v>
      </c>
    </row>
    <row r="61" spans="1:12" x14ac:dyDescent="0.3">
      <c r="A61" s="5" t="s">
        <v>449</v>
      </c>
      <c r="D61" s="5">
        <v>465</v>
      </c>
      <c r="E61" s="5">
        <v>22</v>
      </c>
      <c r="F61" t="s">
        <v>440</v>
      </c>
      <c r="G61" t="s">
        <v>235</v>
      </c>
      <c r="J61" s="3" t="s">
        <v>615</v>
      </c>
      <c r="K61" s="3" t="s">
        <v>498</v>
      </c>
      <c r="L61" t="s">
        <v>616</v>
      </c>
    </row>
    <row r="62" spans="1:12" x14ac:dyDescent="0.3">
      <c r="A62" t="s">
        <v>450</v>
      </c>
      <c r="D62">
        <v>487</v>
      </c>
      <c r="E62">
        <v>11</v>
      </c>
      <c r="F62" t="s">
        <v>440</v>
      </c>
      <c r="G62" t="s">
        <v>235</v>
      </c>
      <c r="J62" s="3" t="s">
        <v>617</v>
      </c>
      <c r="K62" s="3" t="s">
        <v>498</v>
      </c>
      <c r="L62" t="s">
        <v>618</v>
      </c>
    </row>
    <row r="63" spans="1:12" x14ac:dyDescent="0.3">
      <c r="A63" s="5" t="s">
        <v>451</v>
      </c>
      <c r="D63" s="5">
        <v>498</v>
      </c>
      <c r="E63" s="5">
        <v>57</v>
      </c>
      <c r="F63" t="s">
        <v>440</v>
      </c>
      <c r="G63" t="s">
        <v>235</v>
      </c>
      <c r="J63" s="3" t="s">
        <v>619</v>
      </c>
      <c r="K63" s="3" t="s">
        <v>498</v>
      </c>
      <c r="L63" t="s">
        <v>620</v>
      </c>
    </row>
    <row r="64" spans="1:12" x14ac:dyDescent="0.3">
      <c r="A64" t="s">
        <v>366</v>
      </c>
      <c r="D64">
        <v>555</v>
      </c>
      <c r="E64">
        <v>10</v>
      </c>
      <c r="F64" t="s">
        <v>440</v>
      </c>
      <c r="G64" t="s">
        <v>235</v>
      </c>
      <c r="J64" s="3" t="s">
        <v>621</v>
      </c>
      <c r="K64" s="3" t="s">
        <v>498</v>
      </c>
      <c r="L64" t="s">
        <v>622</v>
      </c>
    </row>
    <row r="65" spans="1:12" x14ac:dyDescent="0.3">
      <c r="J65" s="3" t="s">
        <v>623</v>
      </c>
      <c r="K65" s="3" t="s">
        <v>498</v>
      </c>
      <c r="L65" t="s">
        <v>522</v>
      </c>
    </row>
    <row r="66" spans="1:12" x14ac:dyDescent="0.3">
      <c r="A66" s="5" t="s">
        <v>2482</v>
      </c>
      <c r="D66" s="5" t="s">
        <v>115</v>
      </c>
      <c r="E66" s="5" t="s">
        <v>241</v>
      </c>
      <c r="J66" s="3" t="s">
        <v>624</v>
      </c>
      <c r="K66" s="3" t="s">
        <v>498</v>
      </c>
      <c r="L66" t="s">
        <v>625</v>
      </c>
    </row>
    <row r="67" spans="1:12" x14ac:dyDescent="0.3">
      <c r="A67" s="5"/>
      <c r="D67" s="5"/>
      <c r="E67" s="5"/>
      <c r="J67" s="3" t="s">
        <v>626</v>
      </c>
      <c r="K67" s="3" t="s">
        <v>498</v>
      </c>
      <c r="L67" t="s">
        <v>522</v>
      </c>
    </row>
    <row r="68" spans="1:12" x14ac:dyDescent="0.3">
      <c r="A68" s="5" t="s">
        <v>452</v>
      </c>
      <c r="D68" s="5">
        <v>1</v>
      </c>
      <c r="E68" s="5">
        <v>4</v>
      </c>
      <c r="F68" t="s">
        <v>453</v>
      </c>
      <c r="G68" t="s">
        <v>235</v>
      </c>
      <c r="J68" s="3" t="s">
        <v>627</v>
      </c>
      <c r="K68" s="3" t="s">
        <v>498</v>
      </c>
      <c r="L68" t="s">
        <v>628</v>
      </c>
    </row>
    <row r="69" spans="1:12" x14ac:dyDescent="0.3">
      <c r="A69" t="s">
        <v>454</v>
      </c>
      <c r="D69">
        <v>5</v>
      </c>
      <c r="E69">
        <v>5</v>
      </c>
      <c r="F69" t="s">
        <v>453</v>
      </c>
      <c r="G69" t="s">
        <v>235</v>
      </c>
      <c r="J69" s="3" t="s">
        <v>629</v>
      </c>
      <c r="K69" s="3" t="s">
        <v>498</v>
      </c>
      <c r="L69" t="s">
        <v>630</v>
      </c>
    </row>
    <row r="70" spans="1:12" x14ac:dyDescent="0.3">
      <c r="J70" s="3" t="s">
        <v>631</v>
      </c>
      <c r="K70" s="3" t="s">
        <v>498</v>
      </c>
      <c r="L70" t="s">
        <v>632</v>
      </c>
    </row>
    <row r="71" spans="1:12" x14ac:dyDescent="0.3">
      <c r="A71" s="5" t="s">
        <v>2483</v>
      </c>
      <c r="D71" s="5" t="s">
        <v>115</v>
      </c>
      <c r="E71" s="5" t="s">
        <v>240</v>
      </c>
      <c r="J71" s="3" t="s">
        <v>633</v>
      </c>
      <c r="K71" s="3" t="s">
        <v>498</v>
      </c>
      <c r="L71" t="s">
        <v>634</v>
      </c>
    </row>
    <row r="72" spans="1:12" x14ac:dyDescent="0.3">
      <c r="A72" s="5"/>
      <c r="D72" s="5"/>
      <c r="E72" s="5"/>
      <c r="J72" s="3" t="s">
        <v>635</v>
      </c>
      <c r="K72" s="3" t="s">
        <v>498</v>
      </c>
      <c r="L72" t="s">
        <v>636</v>
      </c>
    </row>
    <row r="73" spans="1:12" x14ac:dyDescent="0.3">
      <c r="A73" s="5"/>
      <c r="D73" s="5"/>
      <c r="E73" s="5"/>
      <c r="J73" s="3" t="s">
        <v>637</v>
      </c>
      <c r="K73" s="3" t="s">
        <v>498</v>
      </c>
      <c r="L73" t="s">
        <v>638</v>
      </c>
    </row>
    <row r="74" spans="1:12" x14ac:dyDescent="0.3">
      <c r="J74" s="3" t="s">
        <v>639</v>
      </c>
      <c r="K74" s="3" t="s">
        <v>498</v>
      </c>
      <c r="L74" t="s">
        <v>640</v>
      </c>
    </row>
    <row r="75" spans="1:12" x14ac:dyDescent="0.3">
      <c r="A75" s="5" t="s">
        <v>2484</v>
      </c>
      <c r="D75" s="5" t="s">
        <v>115</v>
      </c>
      <c r="E75" s="5" t="s">
        <v>455</v>
      </c>
      <c r="J75" s="3" t="s">
        <v>641</v>
      </c>
      <c r="K75" s="3" t="s">
        <v>498</v>
      </c>
      <c r="L75" t="s">
        <v>642</v>
      </c>
    </row>
    <row r="76" spans="1:12" x14ac:dyDescent="0.3">
      <c r="A76" s="5"/>
      <c r="D76" s="5"/>
      <c r="E76" s="5"/>
      <c r="J76" s="3" t="s">
        <v>643</v>
      </c>
      <c r="K76" s="3" t="s">
        <v>498</v>
      </c>
      <c r="L76" t="s">
        <v>625</v>
      </c>
    </row>
    <row r="77" spans="1:12" x14ac:dyDescent="0.3">
      <c r="A77" s="5" t="s">
        <v>368</v>
      </c>
      <c r="D77" s="5">
        <v>1</v>
      </c>
      <c r="E77" s="5">
        <v>8</v>
      </c>
      <c r="F77" t="s">
        <v>456</v>
      </c>
      <c r="G77" t="s">
        <v>235</v>
      </c>
      <c r="J77" s="3" t="s">
        <v>644</v>
      </c>
      <c r="K77" s="3" t="s">
        <v>498</v>
      </c>
      <c r="L77" t="s">
        <v>645</v>
      </c>
    </row>
    <row r="78" spans="1:12" x14ac:dyDescent="0.3">
      <c r="A78" s="5" t="s">
        <v>457</v>
      </c>
      <c r="D78" s="5">
        <v>9</v>
      </c>
      <c r="E78" s="5">
        <v>4</v>
      </c>
      <c r="F78" t="s">
        <v>456</v>
      </c>
      <c r="G78" t="s">
        <v>235</v>
      </c>
      <c r="J78" s="3" t="s">
        <v>646</v>
      </c>
      <c r="K78" s="3" t="s">
        <v>498</v>
      </c>
      <c r="L78" t="s">
        <v>647</v>
      </c>
    </row>
    <row r="79" spans="1:12" x14ac:dyDescent="0.3">
      <c r="A79" t="s">
        <v>458</v>
      </c>
      <c r="D79">
        <v>13</v>
      </c>
      <c r="E79">
        <v>11</v>
      </c>
      <c r="F79" t="s">
        <v>456</v>
      </c>
      <c r="G79" t="s">
        <v>235</v>
      </c>
      <c r="J79" s="3" t="s">
        <v>648</v>
      </c>
      <c r="K79" s="3" t="s">
        <v>498</v>
      </c>
      <c r="L79" t="s">
        <v>524</v>
      </c>
    </row>
    <row r="80" spans="1:12" x14ac:dyDescent="0.3">
      <c r="A80" t="s">
        <v>459</v>
      </c>
      <c r="D80">
        <v>24</v>
      </c>
      <c r="E80">
        <v>13</v>
      </c>
      <c r="F80" t="s">
        <v>456</v>
      </c>
      <c r="G80" t="s">
        <v>235</v>
      </c>
      <c r="J80" s="3" t="s">
        <v>649</v>
      </c>
      <c r="K80" s="3" t="s">
        <v>498</v>
      </c>
      <c r="L80" t="s">
        <v>546</v>
      </c>
    </row>
    <row r="81" spans="1:12" x14ac:dyDescent="0.3">
      <c r="A81" t="s">
        <v>460</v>
      </c>
      <c r="D81">
        <v>37</v>
      </c>
      <c r="E81">
        <v>14</v>
      </c>
      <c r="F81" t="s">
        <v>456</v>
      </c>
      <c r="G81" t="s">
        <v>235</v>
      </c>
      <c r="J81" s="3" t="s">
        <v>650</v>
      </c>
      <c r="K81" s="3" t="s">
        <v>498</v>
      </c>
      <c r="L81" t="s">
        <v>568</v>
      </c>
    </row>
    <row r="82" spans="1:12" x14ac:dyDescent="0.3">
      <c r="A82" t="s">
        <v>328</v>
      </c>
      <c r="D82">
        <v>51</v>
      </c>
      <c r="E82">
        <v>17</v>
      </c>
      <c r="F82" t="s">
        <v>456</v>
      </c>
      <c r="G82" t="s">
        <v>235</v>
      </c>
      <c r="J82" s="3" t="s">
        <v>651</v>
      </c>
      <c r="K82" s="3" t="s">
        <v>498</v>
      </c>
      <c r="L82" t="s">
        <v>590</v>
      </c>
    </row>
    <row r="83" spans="1:12" x14ac:dyDescent="0.3">
      <c r="A83" t="s">
        <v>330</v>
      </c>
      <c r="D83">
        <v>68</v>
      </c>
      <c r="E83">
        <v>13</v>
      </c>
      <c r="F83" t="s">
        <v>456</v>
      </c>
      <c r="G83" t="s">
        <v>235</v>
      </c>
      <c r="J83" s="3" t="s">
        <v>652</v>
      </c>
      <c r="K83" s="3" t="s">
        <v>498</v>
      </c>
      <c r="L83" t="s">
        <v>611</v>
      </c>
    </row>
    <row r="84" spans="1:12" x14ac:dyDescent="0.3">
      <c r="A84" s="5"/>
      <c r="D84" s="5"/>
      <c r="E84" s="5"/>
      <c r="J84" s="3" t="s">
        <v>653</v>
      </c>
      <c r="K84" s="3" t="s">
        <v>498</v>
      </c>
      <c r="L84" t="s">
        <v>616</v>
      </c>
    </row>
    <row r="85" spans="1:12" x14ac:dyDescent="0.3">
      <c r="A85" s="5" t="s">
        <v>2485</v>
      </c>
      <c r="D85" s="5" t="s">
        <v>115</v>
      </c>
      <c r="E85" s="5" t="s">
        <v>240</v>
      </c>
      <c r="J85" s="3" t="s">
        <v>654</v>
      </c>
      <c r="K85" s="3" t="s">
        <v>498</v>
      </c>
      <c r="L85" t="s">
        <v>618</v>
      </c>
    </row>
    <row r="86" spans="1:12" x14ac:dyDescent="0.3">
      <c r="A86" s="5"/>
      <c r="D86" s="5"/>
      <c r="E86" s="5"/>
      <c r="J86" s="3" t="s">
        <v>655</v>
      </c>
      <c r="K86" s="3" t="s">
        <v>498</v>
      </c>
      <c r="L86" t="s">
        <v>620</v>
      </c>
    </row>
    <row r="87" spans="1:12" x14ac:dyDescent="0.3">
      <c r="A87" s="5"/>
      <c r="D87" s="5"/>
      <c r="E87" s="5"/>
      <c r="J87" s="3" t="s">
        <v>656</v>
      </c>
      <c r="K87" s="3" t="s">
        <v>498</v>
      </c>
      <c r="L87" t="s">
        <v>622</v>
      </c>
    </row>
    <row r="88" spans="1:12" x14ac:dyDescent="0.3">
      <c r="J88" s="3" t="s">
        <v>657</v>
      </c>
      <c r="K88" s="3" t="s">
        <v>498</v>
      </c>
      <c r="L88" t="s">
        <v>522</v>
      </c>
    </row>
    <row r="89" spans="1:12" x14ac:dyDescent="0.3">
      <c r="A89" s="5" t="s">
        <v>2486</v>
      </c>
      <c r="D89" s="5" t="s">
        <v>115</v>
      </c>
      <c r="E89" s="5" t="s">
        <v>461</v>
      </c>
      <c r="J89" s="3" t="s">
        <v>658</v>
      </c>
      <c r="K89" s="3" t="s">
        <v>498</v>
      </c>
      <c r="L89" t="s">
        <v>628</v>
      </c>
    </row>
    <row r="90" spans="1:12" x14ac:dyDescent="0.3">
      <c r="A90" s="5"/>
      <c r="D90" s="5"/>
      <c r="E90" s="5"/>
      <c r="J90" s="3" t="s">
        <v>659</v>
      </c>
      <c r="K90" s="3" t="s">
        <v>498</v>
      </c>
      <c r="L90" t="s">
        <v>630</v>
      </c>
    </row>
    <row r="91" spans="1:12" x14ac:dyDescent="0.3">
      <c r="A91" s="5" t="s">
        <v>462</v>
      </c>
      <c r="D91" s="5">
        <v>1</v>
      </c>
      <c r="E91" s="5">
        <v>3</v>
      </c>
      <c r="F91" t="s">
        <v>463</v>
      </c>
      <c r="G91" t="s">
        <v>235</v>
      </c>
      <c r="J91" s="3" t="s">
        <v>660</v>
      </c>
      <c r="K91" s="3" t="s">
        <v>498</v>
      </c>
      <c r="L91" t="s">
        <v>522</v>
      </c>
    </row>
    <row r="92" spans="1:12" x14ac:dyDescent="0.3">
      <c r="A92" t="s">
        <v>199</v>
      </c>
      <c r="D92">
        <v>4</v>
      </c>
      <c r="E92">
        <v>4</v>
      </c>
      <c r="F92" t="s">
        <v>463</v>
      </c>
      <c r="G92" t="s">
        <v>235</v>
      </c>
      <c r="J92" s="3" t="s">
        <v>661</v>
      </c>
      <c r="K92" s="3" t="s">
        <v>498</v>
      </c>
      <c r="L92" t="s">
        <v>628</v>
      </c>
    </row>
    <row r="93" spans="1:12" x14ac:dyDescent="0.3">
      <c r="A93" t="s">
        <v>200</v>
      </c>
      <c r="D93">
        <v>8</v>
      </c>
      <c r="E93">
        <v>28</v>
      </c>
      <c r="F93" t="s">
        <v>463</v>
      </c>
      <c r="G93" t="s">
        <v>235</v>
      </c>
      <c r="J93" s="3" t="s">
        <v>662</v>
      </c>
      <c r="K93" s="3" t="s">
        <v>498</v>
      </c>
      <c r="L93" t="s">
        <v>630</v>
      </c>
    </row>
    <row r="94" spans="1:12" x14ac:dyDescent="0.3">
      <c r="J94" s="3" t="s">
        <v>663</v>
      </c>
      <c r="K94" s="3" t="s">
        <v>498</v>
      </c>
      <c r="L94" t="s">
        <v>632</v>
      </c>
    </row>
    <row r="95" spans="1:12" x14ac:dyDescent="0.3">
      <c r="A95" s="5" t="s">
        <v>2487</v>
      </c>
      <c r="D95" s="5" t="s">
        <v>115</v>
      </c>
      <c r="E95" s="5" t="s">
        <v>464</v>
      </c>
      <c r="J95" s="3" t="s">
        <v>664</v>
      </c>
      <c r="K95" s="3" t="s">
        <v>498</v>
      </c>
      <c r="L95" t="s">
        <v>522</v>
      </c>
    </row>
    <row r="96" spans="1:12" x14ac:dyDescent="0.3">
      <c r="A96" s="5"/>
      <c r="D96" s="5"/>
      <c r="E96" s="5"/>
      <c r="J96" s="3" t="s">
        <v>665</v>
      </c>
      <c r="K96" s="3" t="s">
        <v>498</v>
      </c>
      <c r="L96" t="s">
        <v>628</v>
      </c>
    </row>
    <row r="97" spans="1:12" x14ac:dyDescent="0.3">
      <c r="A97" s="5" t="s">
        <v>465</v>
      </c>
      <c r="D97" s="5">
        <v>1</v>
      </c>
      <c r="E97" s="5">
        <v>12</v>
      </c>
      <c r="F97" t="s">
        <v>466</v>
      </c>
      <c r="G97" t="s">
        <v>235</v>
      </c>
      <c r="J97" s="3" t="s">
        <v>666</v>
      </c>
      <c r="K97" s="3" t="s">
        <v>498</v>
      </c>
      <c r="L97" t="s">
        <v>522</v>
      </c>
    </row>
    <row r="98" spans="1:12" x14ac:dyDescent="0.3">
      <c r="A98" t="s">
        <v>467</v>
      </c>
      <c r="D98">
        <v>13</v>
      </c>
      <c r="E98">
        <v>28</v>
      </c>
      <c r="F98" t="s">
        <v>466</v>
      </c>
      <c r="G98" t="s">
        <v>235</v>
      </c>
      <c r="J98" s="3" t="s">
        <v>667</v>
      </c>
      <c r="K98" s="3" t="s">
        <v>498</v>
      </c>
      <c r="L98" t="s">
        <v>522</v>
      </c>
    </row>
    <row r="99" spans="1:12" x14ac:dyDescent="0.3">
      <c r="A99" t="s">
        <v>468</v>
      </c>
      <c r="D99">
        <v>41</v>
      </c>
      <c r="E99">
        <v>115</v>
      </c>
      <c r="F99" t="s">
        <v>466</v>
      </c>
      <c r="G99" t="s">
        <v>235</v>
      </c>
      <c r="J99" s="3" t="s">
        <v>668</v>
      </c>
      <c r="K99" s="3" t="s">
        <v>498</v>
      </c>
      <c r="L99" t="s">
        <v>628</v>
      </c>
    </row>
    <row r="100" spans="1:12" x14ac:dyDescent="0.3">
      <c r="A100" t="s">
        <v>469</v>
      </c>
      <c r="D100">
        <v>156</v>
      </c>
      <c r="E100">
        <v>26</v>
      </c>
      <c r="F100" t="s">
        <v>466</v>
      </c>
      <c r="G100" t="s">
        <v>235</v>
      </c>
      <c r="J100" s="3" t="s">
        <v>669</v>
      </c>
      <c r="K100" s="3" t="s">
        <v>498</v>
      </c>
      <c r="L100" t="s">
        <v>630</v>
      </c>
    </row>
    <row r="101" spans="1:12" x14ac:dyDescent="0.3">
      <c r="A101" s="5" t="s">
        <v>470</v>
      </c>
      <c r="D101" s="5">
        <v>182</v>
      </c>
      <c r="E101" s="5">
        <v>20</v>
      </c>
      <c r="F101" t="s">
        <v>466</v>
      </c>
      <c r="G101" t="s">
        <v>235</v>
      </c>
      <c r="J101" s="3" t="s">
        <v>670</v>
      </c>
      <c r="K101" s="3" t="s">
        <v>498</v>
      </c>
      <c r="L101" t="s">
        <v>632</v>
      </c>
    </row>
    <row r="102" spans="1:12" x14ac:dyDescent="0.3">
      <c r="A102" t="s">
        <v>471</v>
      </c>
      <c r="D102">
        <v>202</v>
      </c>
      <c r="E102">
        <v>33</v>
      </c>
      <c r="F102" t="s">
        <v>466</v>
      </c>
      <c r="G102" t="s">
        <v>235</v>
      </c>
      <c r="J102" s="3" t="s">
        <v>671</v>
      </c>
      <c r="K102" s="3" t="s">
        <v>498</v>
      </c>
      <c r="L102" t="s">
        <v>634</v>
      </c>
    </row>
    <row r="103" spans="1:12" x14ac:dyDescent="0.3">
      <c r="A103" t="s">
        <v>472</v>
      </c>
      <c r="D103">
        <v>235</v>
      </c>
      <c r="E103">
        <v>35</v>
      </c>
      <c r="F103" t="s">
        <v>466</v>
      </c>
      <c r="G103" t="s">
        <v>235</v>
      </c>
      <c r="J103" s="3" t="s">
        <v>672</v>
      </c>
      <c r="K103" s="3" t="s">
        <v>498</v>
      </c>
      <c r="L103" t="s">
        <v>636</v>
      </c>
    </row>
    <row r="104" spans="1:12" x14ac:dyDescent="0.3">
      <c r="A104" t="s">
        <v>473</v>
      </c>
      <c r="D104">
        <v>270</v>
      </c>
      <c r="E104">
        <v>51</v>
      </c>
      <c r="F104" t="s">
        <v>466</v>
      </c>
      <c r="G104" t="s">
        <v>235</v>
      </c>
      <c r="J104" s="3" t="s">
        <v>673</v>
      </c>
      <c r="K104" s="3" t="s">
        <v>498</v>
      </c>
      <c r="L104" t="s">
        <v>638</v>
      </c>
    </row>
    <row r="105" spans="1:12" x14ac:dyDescent="0.3">
      <c r="A105" t="s">
        <v>474</v>
      </c>
      <c r="D105">
        <v>321</v>
      </c>
      <c r="E105">
        <v>40</v>
      </c>
      <c r="F105" t="s">
        <v>466</v>
      </c>
      <c r="G105" t="s">
        <v>235</v>
      </c>
      <c r="J105" s="3" t="s">
        <v>674</v>
      </c>
      <c r="K105" s="3" t="s">
        <v>498</v>
      </c>
      <c r="L105" t="s">
        <v>640</v>
      </c>
    </row>
    <row r="106" spans="1:12" x14ac:dyDescent="0.3">
      <c r="A106" s="5" t="s">
        <v>475</v>
      </c>
      <c r="D106" s="5">
        <v>361</v>
      </c>
      <c r="E106" s="5">
        <v>36</v>
      </c>
      <c r="F106" t="s">
        <v>466</v>
      </c>
      <c r="G106" t="s">
        <v>235</v>
      </c>
      <c r="J106" s="3" t="s">
        <v>675</v>
      </c>
      <c r="K106" s="3" t="s">
        <v>498</v>
      </c>
      <c r="L106" t="s">
        <v>642</v>
      </c>
    </row>
    <row r="107" spans="1:12" x14ac:dyDescent="0.3">
      <c r="A107" t="s">
        <v>476</v>
      </c>
      <c r="D107">
        <v>397</v>
      </c>
      <c r="E107">
        <v>4</v>
      </c>
      <c r="F107" t="s">
        <v>466</v>
      </c>
      <c r="G107" t="s">
        <v>235</v>
      </c>
      <c r="J107" s="3" t="s">
        <v>676</v>
      </c>
      <c r="K107" s="3" t="s">
        <v>498</v>
      </c>
      <c r="L107" t="s">
        <v>625</v>
      </c>
    </row>
    <row r="108" spans="1:12" x14ac:dyDescent="0.3">
      <c r="A108" t="s">
        <v>199</v>
      </c>
      <c r="D108">
        <v>401</v>
      </c>
      <c r="E108">
        <v>4</v>
      </c>
      <c r="F108" t="s">
        <v>466</v>
      </c>
      <c r="G108" t="s">
        <v>235</v>
      </c>
      <c r="J108" s="3" t="s">
        <v>677</v>
      </c>
      <c r="K108" s="3" t="s">
        <v>498</v>
      </c>
      <c r="L108" t="s">
        <v>522</v>
      </c>
    </row>
    <row r="109" spans="1:12" x14ac:dyDescent="0.3">
      <c r="A109" t="s">
        <v>200</v>
      </c>
      <c r="D109">
        <v>405</v>
      </c>
      <c r="E109">
        <v>80</v>
      </c>
      <c r="F109" t="s">
        <v>466</v>
      </c>
      <c r="G109" t="s">
        <v>235</v>
      </c>
      <c r="J109" s="3" t="s">
        <v>678</v>
      </c>
      <c r="K109" s="3" t="s">
        <v>498</v>
      </c>
      <c r="L109" t="s">
        <v>645</v>
      </c>
    </row>
    <row r="110" spans="1:12" x14ac:dyDescent="0.3">
      <c r="A110" t="s">
        <v>477</v>
      </c>
      <c r="D110">
        <v>485</v>
      </c>
      <c r="E110">
        <v>7</v>
      </c>
      <c r="F110" t="s">
        <v>466</v>
      </c>
      <c r="G110" t="s">
        <v>235</v>
      </c>
      <c r="J110" s="3" t="s">
        <v>679</v>
      </c>
      <c r="K110" s="3" t="s">
        <v>498</v>
      </c>
      <c r="L110" t="s">
        <v>647</v>
      </c>
    </row>
    <row r="111" spans="1:12" x14ac:dyDescent="0.3">
      <c r="A111" s="5"/>
      <c r="D111" s="5"/>
      <c r="E111" s="5"/>
      <c r="J111" s="3" t="s">
        <v>680</v>
      </c>
      <c r="K111" s="3" t="s">
        <v>498</v>
      </c>
      <c r="L111" t="s">
        <v>524</v>
      </c>
    </row>
    <row r="112" spans="1:12" x14ac:dyDescent="0.3">
      <c r="A112" s="5" t="s">
        <v>2488</v>
      </c>
      <c r="D112" s="5" t="s">
        <v>115</v>
      </c>
      <c r="E112" s="5" t="s">
        <v>478</v>
      </c>
      <c r="J112" s="3" t="s">
        <v>681</v>
      </c>
      <c r="K112" s="3" t="s">
        <v>498</v>
      </c>
      <c r="L112" t="s">
        <v>546</v>
      </c>
    </row>
    <row r="113" spans="1:12" x14ac:dyDescent="0.3">
      <c r="A113" s="5"/>
      <c r="D113" s="5"/>
      <c r="E113" s="5"/>
      <c r="J113" s="3" t="s">
        <v>682</v>
      </c>
      <c r="K113" s="3" t="s">
        <v>498</v>
      </c>
      <c r="L113" t="s">
        <v>568</v>
      </c>
    </row>
    <row r="114" spans="1:12" x14ac:dyDescent="0.3">
      <c r="A114" s="5" t="s">
        <v>374</v>
      </c>
      <c r="D114" s="5">
        <v>1</v>
      </c>
      <c r="E114" s="5">
        <v>58</v>
      </c>
      <c r="F114" t="s">
        <v>479</v>
      </c>
      <c r="G114" t="s">
        <v>235</v>
      </c>
      <c r="J114" s="3" t="s">
        <v>683</v>
      </c>
      <c r="K114" s="3" t="s">
        <v>498</v>
      </c>
      <c r="L114" t="s">
        <v>590</v>
      </c>
    </row>
    <row r="115" spans="1:12" x14ac:dyDescent="0.3">
      <c r="A115" s="5" t="s">
        <v>480</v>
      </c>
      <c r="D115" s="5">
        <v>59</v>
      </c>
      <c r="E115" s="5">
        <v>29</v>
      </c>
      <c r="F115" t="s">
        <v>479</v>
      </c>
      <c r="G115" t="s">
        <v>235</v>
      </c>
      <c r="J115" s="3" t="s">
        <v>684</v>
      </c>
      <c r="K115" s="3" t="s">
        <v>498</v>
      </c>
      <c r="L115" t="s">
        <v>611</v>
      </c>
    </row>
    <row r="116" spans="1:12" x14ac:dyDescent="0.3">
      <c r="A116" s="5" t="s">
        <v>481</v>
      </c>
      <c r="D116" s="5">
        <v>88</v>
      </c>
      <c r="E116" s="5">
        <v>13</v>
      </c>
      <c r="F116" t="s">
        <v>479</v>
      </c>
      <c r="G116" t="s">
        <v>239</v>
      </c>
      <c r="J116" s="3" t="s">
        <v>685</v>
      </c>
      <c r="K116" s="3" t="s">
        <v>498</v>
      </c>
      <c r="L116" t="s">
        <v>616</v>
      </c>
    </row>
    <row r="117" spans="1:12" x14ac:dyDescent="0.3">
      <c r="A117" t="s">
        <v>482</v>
      </c>
      <c r="D117">
        <v>101</v>
      </c>
      <c r="E117">
        <v>132</v>
      </c>
      <c r="F117" t="s">
        <v>479</v>
      </c>
      <c r="G117" t="s">
        <v>235</v>
      </c>
      <c r="J117" s="3" t="s">
        <v>686</v>
      </c>
      <c r="K117" s="3" t="s">
        <v>498</v>
      </c>
      <c r="L117" t="s">
        <v>618</v>
      </c>
    </row>
    <row r="118" spans="1:12" x14ac:dyDescent="0.3">
      <c r="A118" t="s">
        <v>379</v>
      </c>
      <c r="D118">
        <v>233</v>
      </c>
      <c r="E118">
        <v>9</v>
      </c>
      <c r="F118" t="s">
        <v>479</v>
      </c>
      <c r="G118" t="s">
        <v>235</v>
      </c>
      <c r="H118" s="3"/>
      <c r="I118" s="3"/>
      <c r="J118" s="3" t="s">
        <v>687</v>
      </c>
      <c r="K118" s="3" t="s">
        <v>498</v>
      </c>
      <c r="L118" t="s">
        <v>620</v>
      </c>
    </row>
    <row r="119" spans="1:12" x14ac:dyDescent="0.3">
      <c r="J119" s="3" t="s">
        <v>688</v>
      </c>
      <c r="K119" s="3" t="s">
        <v>498</v>
      </c>
      <c r="L119" t="s">
        <v>522</v>
      </c>
    </row>
    <row r="120" spans="1:12" x14ac:dyDescent="0.3">
      <c r="A120" s="5" t="s">
        <v>2489</v>
      </c>
      <c r="D120" s="5" t="s">
        <v>115</v>
      </c>
      <c r="E120" s="5" t="s">
        <v>483</v>
      </c>
      <c r="J120" s="3" t="s">
        <v>689</v>
      </c>
      <c r="K120" s="3" t="s">
        <v>498</v>
      </c>
      <c r="L120" t="s">
        <v>622</v>
      </c>
    </row>
    <row r="121" spans="1:12" x14ac:dyDescent="0.3">
      <c r="A121" s="5"/>
      <c r="D121" s="5"/>
      <c r="E121" s="5"/>
      <c r="I121" s="3"/>
      <c r="J121" s="3" t="s">
        <v>690</v>
      </c>
      <c r="K121" s="3" t="s">
        <v>498</v>
      </c>
      <c r="L121" t="s">
        <v>522</v>
      </c>
    </row>
    <row r="122" spans="1:12" x14ac:dyDescent="0.3">
      <c r="A122" s="5" t="s">
        <v>484</v>
      </c>
      <c r="D122" s="5">
        <v>1</v>
      </c>
      <c r="E122" s="5">
        <v>3</v>
      </c>
      <c r="F122" t="s">
        <v>485</v>
      </c>
      <c r="G122" t="s">
        <v>235</v>
      </c>
      <c r="I122" s="3"/>
      <c r="J122" s="3" t="s">
        <v>691</v>
      </c>
      <c r="K122" s="3" t="s">
        <v>498</v>
      </c>
      <c r="L122" t="s">
        <v>628</v>
      </c>
    </row>
    <row r="123" spans="1:12" x14ac:dyDescent="0.3">
      <c r="A123" t="s">
        <v>486</v>
      </c>
      <c r="D123">
        <v>4</v>
      </c>
      <c r="E123">
        <v>10</v>
      </c>
      <c r="F123" t="s">
        <v>485</v>
      </c>
      <c r="G123" t="s">
        <v>235</v>
      </c>
      <c r="J123" s="3" t="s">
        <v>692</v>
      </c>
      <c r="K123" s="3" t="s">
        <v>498</v>
      </c>
      <c r="L123" t="s">
        <v>630</v>
      </c>
    </row>
    <row r="124" spans="1:12" x14ac:dyDescent="0.3">
      <c r="A124" t="s">
        <v>199</v>
      </c>
      <c r="D124">
        <v>14</v>
      </c>
      <c r="E124">
        <v>4</v>
      </c>
      <c r="F124" t="s">
        <v>485</v>
      </c>
      <c r="G124" t="s">
        <v>235</v>
      </c>
      <c r="J124" s="3" t="s">
        <v>693</v>
      </c>
      <c r="K124" s="3" t="s">
        <v>498</v>
      </c>
      <c r="L124" t="s">
        <v>632</v>
      </c>
    </row>
    <row r="125" spans="1:12" x14ac:dyDescent="0.3">
      <c r="A125" s="5" t="s">
        <v>200</v>
      </c>
      <c r="D125" s="5">
        <v>18</v>
      </c>
      <c r="E125" s="5">
        <v>13</v>
      </c>
      <c r="F125" t="s">
        <v>485</v>
      </c>
      <c r="G125" t="s">
        <v>235</v>
      </c>
      <c r="J125" s="3" t="s">
        <v>694</v>
      </c>
      <c r="K125" s="3" t="s">
        <v>498</v>
      </c>
      <c r="L125" t="s">
        <v>634</v>
      </c>
    </row>
    <row r="126" spans="1:12" x14ac:dyDescent="0.3">
      <c r="A126" s="5"/>
      <c r="D126" s="5"/>
      <c r="E126" s="5"/>
      <c r="J126" s="3" t="s">
        <v>695</v>
      </c>
      <c r="K126" s="3" t="s">
        <v>498</v>
      </c>
      <c r="L126" t="s">
        <v>636</v>
      </c>
    </row>
    <row r="127" spans="1:12" x14ac:dyDescent="0.3">
      <c r="A127" s="5" t="s">
        <v>2490</v>
      </c>
      <c r="D127" s="5" t="s">
        <v>115</v>
      </c>
      <c r="E127" s="5" t="s">
        <v>487</v>
      </c>
      <c r="J127" s="3" t="s">
        <v>696</v>
      </c>
      <c r="K127" s="3" t="s">
        <v>498</v>
      </c>
      <c r="L127" t="s">
        <v>638</v>
      </c>
    </row>
    <row r="128" spans="1:12" x14ac:dyDescent="0.3">
      <c r="A128" s="5"/>
      <c r="D128" s="5"/>
      <c r="E128" s="5"/>
      <c r="J128" s="3" t="s">
        <v>697</v>
      </c>
      <c r="K128" s="3" t="s">
        <v>498</v>
      </c>
      <c r="L128" t="s">
        <v>640</v>
      </c>
    </row>
    <row r="129" spans="1:12" x14ac:dyDescent="0.3">
      <c r="A129" s="5" t="s">
        <v>488</v>
      </c>
      <c r="D129" s="5">
        <v>1</v>
      </c>
      <c r="E129" s="5">
        <v>5</v>
      </c>
      <c r="F129" t="s">
        <v>489</v>
      </c>
      <c r="G129" t="s">
        <v>235</v>
      </c>
      <c r="J129" s="3" t="s">
        <v>698</v>
      </c>
      <c r="K129" s="3" t="s">
        <v>498</v>
      </c>
      <c r="L129" t="s">
        <v>642</v>
      </c>
    </row>
    <row r="130" spans="1:12" x14ac:dyDescent="0.3">
      <c r="A130" s="5" t="s">
        <v>490</v>
      </c>
      <c r="D130" s="5">
        <v>6</v>
      </c>
      <c r="E130" s="5">
        <v>4</v>
      </c>
      <c r="F130" t="s">
        <v>489</v>
      </c>
      <c r="G130" t="s">
        <v>235</v>
      </c>
      <c r="J130" s="3" t="s">
        <v>699</v>
      </c>
      <c r="K130" s="3" t="s">
        <v>498</v>
      </c>
      <c r="L130" t="s">
        <v>628</v>
      </c>
    </row>
    <row r="131" spans="1:12" x14ac:dyDescent="0.3">
      <c r="A131" s="5" t="s">
        <v>199</v>
      </c>
      <c r="D131" s="5">
        <v>10</v>
      </c>
      <c r="E131" s="5">
        <v>4</v>
      </c>
      <c r="F131" t="s">
        <v>489</v>
      </c>
      <c r="G131" t="s">
        <v>235</v>
      </c>
      <c r="J131" s="3" t="s">
        <v>700</v>
      </c>
      <c r="K131" s="3" t="s">
        <v>498</v>
      </c>
      <c r="L131" t="s">
        <v>625</v>
      </c>
    </row>
    <row r="132" spans="1:12" x14ac:dyDescent="0.3">
      <c r="A132" t="s">
        <v>200</v>
      </c>
      <c r="D132">
        <v>14</v>
      </c>
      <c r="E132">
        <v>74</v>
      </c>
      <c r="F132" t="s">
        <v>489</v>
      </c>
      <c r="G132" t="s">
        <v>235</v>
      </c>
      <c r="J132" s="3" t="s">
        <v>701</v>
      </c>
      <c r="K132" s="3" t="s">
        <v>498</v>
      </c>
      <c r="L132" t="s">
        <v>645</v>
      </c>
    </row>
    <row r="133" spans="1:12" x14ac:dyDescent="0.3">
      <c r="J133" s="3" t="s">
        <v>702</v>
      </c>
      <c r="K133" s="3" t="s">
        <v>498</v>
      </c>
      <c r="L133" t="s">
        <v>647</v>
      </c>
    </row>
    <row r="134" spans="1:12" x14ac:dyDescent="0.3">
      <c r="A134" s="5" t="s">
        <v>2491</v>
      </c>
      <c r="D134" s="5" t="s">
        <v>115</v>
      </c>
      <c r="E134" s="5" t="s">
        <v>240</v>
      </c>
      <c r="J134" s="3" t="s">
        <v>703</v>
      </c>
      <c r="K134" s="3" t="s">
        <v>498</v>
      </c>
      <c r="L134" t="s">
        <v>524</v>
      </c>
    </row>
    <row r="135" spans="1:12" x14ac:dyDescent="0.3">
      <c r="A135" s="5"/>
      <c r="D135" s="5"/>
      <c r="E135" s="5"/>
      <c r="J135" s="3" t="s">
        <v>704</v>
      </c>
      <c r="K135" s="3" t="s">
        <v>498</v>
      </c>
      <c r="L135" t="s">
        <v>546</v>
      </c>
    </row>
    <row r="136" spans="1:12" x14ac:dyDescent="0.3">
      <c r="A136" s="5"/>
      <c r="D136" s="5"/>
      <c r="E136" s="5"/>
      <c r="J136" s="3" t="s">
        <v>705</v>
      </c>
      <c r="K136" s="3" t="s">
        <v>498</v>
      </c>
      <c r="L136" t="s">
        <v>568</v>
      </c>
    </row>
    <row r="137" spans="1:12" x14ac:dyDescent="0.3">
      <c r="J137" s="3" t="s">
        <v>706</v>
      </c>
      <c r="K137" s="3" t="s">
        <v>498</v>
      </c>
      <c r="L137" t="s">
        <v>590</v>
      </c>
    </row>
    <row r="138" spans="1:12" x14ac:dyDescent="0.3">
      <c r="A138" s="5" t="s">
        <v>2492</v>
      </c>
      <c r="D138" s="5" t="s">
        <v>115</v>
      </c>
      <c r="E138" s="5" t="s">
        <v>2541</v>
      </c>
      <c r="J138" s="3" t="s">
        <v>707</v>
      </c>
      <c r="K138" s="3" t="s">
        <v>498</v>
      </c>
      <c r="L138" t="s">
        <v>611</v>
      </c>
    </row>
    <row r="139" spans="1:12" x14ac:dyDescent="0.3">
      <c r="A139" s="5"/>
      <c r="D139" s="5"/>
      <c r="E139" s="5"/>
      <c r="J139" s="3" t="s">
        <v>708</v>
      </c>
      <c r="K139" s="3" t="s">
        <v>498</v>
      </c>
      <c r="L139" t="s">
        <v>616</v>
      </c>
    </row>
    <row r="140" spans="1:12" x14ac:dyDescent="0.3">
      <c r="A140" s="5" t="s">
        <v>332</v>
      </c>
      <c r="D140" s="5">
        <v>19</v>
      </c>
      <c r="E140" s="5">
        <v>158</v>
      </c>
      <c r="F140" t="s">
        <v>245</v>
      </c>
      <c r="G140" t="s">
        <v>235</v>
      </c>
      <c r="J140" s="3" t="s">
        <v>709</v>
      </c>
      <c r="K140" s="3" t="s">
        <v>498</v>
      </c>
      <c r="L140" t="s">
        <v>618</v>
      </c>
    </row>
    <row r="141" spans="1:12" x14ac:dyDescent="0.3">
      <c r="A141" s="5" t="s">
        <v>100</v>
      </c>
      <c r="D141" s="5">
        <v>177</v>
      </c>
      <c r="E141" s="5">
        <v>117</v>
      </c>
      <c r="F141" t="s">
        <v>245</v>
      </c>
      <c r="G141" t="s">
        <v>235</v>
      </c>
      <c r="J141" s="3" t="s">
        <v>710</v>
      </c>
      <c r="K141" s="3" t="s">
        <v>498</v>
      </c>
      <c r="L141" t="s">
        <v>630</v>
      </c>
    </row>
    <row r="142" spans="1:12" x14ac:dyDescent="0.3">
      <c r="A142" t="s">
        <v>491</v>
      </c>
      <c r="D142">
        <v>294</v>
      </c>
      <c r="E142">
        <v>26</v>
      </c>
      <c r="F142" t="s">
        <v>245</v>
      </c>
      <c r="G142" t="s">
        <v>239</v>
      </c>
      <c r="J142" s="3" t="s">
        <v>711</v>
      </c>
      <c r="K142" s="3" t="s">
        <v>498</v>
      </c>
      <c r="L142" t="s">
        <v>620</v>
      </c>
    </row>
    <row r="143" spans="1:12" x14ac:dyDescent="0.3">
      <c r="A143" t="s">
        <v>492</v>
      </c>
      <c r="D143">
        <v>320</v>
      </c>
      <c r="E143">
        <v>14</v>
      </c>
      <c r="F143" t="s">
        <v>245</v>
      </c>
      <c r="G143" t="s">
        <v>235</v>
      </c>
      <c r="J143" s="3" t="s">
        <v>712</v>
      </c>
      <c r="K143" s="3" t="s">
        <v>498</v>
      </c>
      <c r="L143" t="s">
        <v>622</v>
      </c>
    </row>
    <row r="144" spans="1:12" x14ac:dyDescent="0.3">
      <c r="J144" s="3" t="s">
        <v>713</v>
      </c>
      <c r="K144" s="3" t="s">
        <v>498</v>
      </c>
      <c r="L144" t="s">
        <v>522</v>
      </c>
    </row>
    <row r="145" spans="1:12" x14ac:dyDescent="0.3">
      <c r="A145" s="5" t="s">
        <v>2493</v>
      </c>
      <c r="D145" s="5" t="s">
        <v>115</v>
      </c>
      <c r="E145" s="5" t="s">
        <v>2542</v>
      </c>
      <c r="J145" s="3" t="s">
        <v>714</v>
      </c>
      <c r="K145" s="3" t="s">
        <v>498</v>
      </c>
      <c r="L145" t="s">
        <v>628</v>
      </c>
    </row>
    <row r="146" spans="1:12" x14ac:dyDescent="0.3">
      <c r="A146" s="5"/>
      <c r="D146" s="5"/>
      <c r="E146" s="5"/>
      <c r="J146" s="3" t="s">
        <v>715</v>
      </c>
      <c r="K146" s="3" t="s">
        <v>498</v>
      </c>
      <c r="L146" t="s">
        <v>630</v>
      </c>
    </row>
    <row r="147" spans="1:12" x14ac:dyDescent="0.3">
      <c r="A147" s="5" t="s">
        <v>92</v>
      </c>
      <c r="D147" s="5">
        <v>2</v>
      </c>
      <c r="E147" s="5">
        <v>65</v>
      </c>
      <c r="F147" t="s">
        <v>212</v>
      </c>
      <c r="G147" t="s">
        <v>235</v>
      </c>
      <c r="J147" s="3" t="s">
        <v>716</v>
      </c>
      <c r="K147" s="3" t="s">
        <v>498</v>
      </c>
      <c r="L147" t="s">
        <v>632</v>
      </c>
    </row>
    <row r="148" spans="1:12" x14ac:dyDescent="0.3">
      <c r="A148" t="s">
        <v>213</v>
      </c>
      <c r="D148">
        <v>67</v>
      </c>
      <c r="E148">
        <v>153</v>
      </c>
      <c r="F148" t="s">
        <v>212</v>
      </c>
      <c r="G148" t="s">
        <v>235</v>
      </c>
      <c r="J148" s="3" t="s">
        <v>717</v>
      </c>
      <c r="K148" s="3" t="s">
        <v>498</v>
      </c>
      <c r="L148" t="s">
        <v>634</v>
      </c>
    </row>
    <row r="149" spans="1:12" x14ac:dyDescent="0.3">
      <c r="A149" s="5" t="s">
        <v>214</v>
      </c>
      <c r="D149" s="5">
        <v>220</v>
      </c>
      <c r="E149" s="5">
        <v>34</v>
      </c>
      <c r="F149" t="s">
        <v>212</v>
      </c>
      <c r="G149" t="s">
        <v>235</v>
      </c>
      <c r="J149" s="3" t="s">
        <v>718</v>
      </c>
      <c r="K149" s="3" t="s">
        <v>498</v>
      </c>
      <c r="L149" t="s">
        <v>636</v>
      </c>
    </row>
    <row r="150" spans="1:12" x14ac:dyDescent="0.3">
      <c r="A150" s="5" t="s">
        <v>94</v>
      </c>
      <c r="D150" s="5">
        <v>254</v>
      </c>
      <c r="E150" s="5">
        <v>87</v>
      </c>
      <c r="F150" t="s">
        <v>212</v>
      </c>
      <c r="G150" t="s">
        <v>235</v>
      </c>
      <c r="J150" s="3" t="s">
        <v>719</v>
      </c>
      <c r="K150" s="3" t="s">
        <v>498</v>
      </c>
      <c r="L150" t="s">
        <v>638</v>
      </c>
    </row>
    <row r="151" spans="1:12" x14ac:dyDescent="0.3">
      <c r="A151" t="s">
        <v>215</v>
      </c>
      <c r="D151">
        <v>341</v>
      </c>
      <c r="E151">
        <v>15</v>
      </c>
      <c r="F151" t="s">
        <v>212</v>
      </c>
      <c r="G151" t="s">
        <v>239</v>
      </c>
      <c r="J151" s="3" t="s">
        <v>720</v>
      </c>
      <c r="K151" s="3" t="s">
        <v>498</v>
      </c>
      <c r="L151" t="s">
        <v>640</v>
      </c>
    </row>
    <row r="152" spans="1:12" x14ac:dyDescent="0.3">
      <c r="A152" t="s">
        <v>100</v>
      </c>
      <c r="D152">
        <v>356</v>
      </c>
      <c r="E152">
        <v>79</v>
      </c>
      <c r="F152" t="s">
        <v>212</v>
      </c>
      <c r="G152" t="s">
        <v>235</v>
      </c>
      <c r="J152" s="3" t="s">
        <v>721</v>
      </c>
      <c r="K152" s="3" t="s">
        <v>498</v>
      </c>
      <c r="L152" t="s">
        <v>632</v>
      </c>
    </row>
    <row r="153" spans="1:12" x14ac:dyDescent="0.3">
      <c r="A153" s="5"/>
      <c r="D153" s="5"/>
      <c r="E153" s="5"/>
      <c r="J153" s="3" t="s">
        <v>722</v>
      </c>
      <c r="K153" s="3" t="s">
        <v>498</v>
      </c>
      <c r="L153" t="s">
        <v>642</v>
      </c>
    </row>
    <row r="154" spans="1:12" x14ac:dyDescent="0.3">
      <c r="A154" s="5" t="s">
        <v>2494</v>
      </c>
      <c r="D154" s="5" t="s">
        <v>115</v>
      </c>
      <c r="E154" s="5" t="s">
        <v>240</v>
      </c>
      <c r="J154" s="3" t="s">
        <v>723</v>
      </c>
      <c r="K154" s="3" t="s">
        <v>498</v>
      </c>
      <c r="L154" t="s">
        <v>625</v>
      </c>
    </row>
    <row r="155" spans="1:12" x14ac:dyDescent="0.3">
      <c r="A155" s="5"/>
      <c r="D155" s="5"/>
      <c r="E155" s="5"/>
      <c r="J155" s="3" t="s">
        <v>724</v>
      </c>
      <c r="K155" s="3" t="s">
        <v>498</v>
      </c>
      <c r="L155" t="s">
        <v>645</v>
      </c>
    </row>
    <row r="156" spans="1:12" x14ac:dyDescent="0.3">
      <c r="A156" s="5"/>
      <c r="D156" s="5"/>
      <c r="E156" s="5"/>
      <c r="J156" s="3" t="s">
        <v>725</v>
      </c>
      <c r="K156" s="3" t="s">
        <v>498</v>
      </c>
      <c r="L156" t="s">
        <v>647</v>
      </c>
    </row>
    <row r="157" spans="1:12" x14ac:dyDescent="0.3">
      <c r="A157" s="5"/>
      <c r="D157" s="5"/>
      <c r="E157" s="5"/>
      <c r="J157" s="3" t="s">
        <v>726</v>
      </c>
      <c r="K157" s="3" t="s">
        <v>498</v>
      </c>
      <c r="L157" t="s">
        <v>524</v>
      </c>
    </row>
    <row r="158" spans="1:12" x14ac:dyDescent="0.3">
      <c r="A158" s="5" t="s">
        <v>2495</v>
      </c>
      <c r="D158" s="5" t="s">
        <v>115</v>
      </c>
      <c r="E158" s="5" t="s">
        <v>240</v>
      </c>
      <c r="J158" s="3" t="s">
        <v>727</v>
      </c>
      <c r="K158" s="3" t="s">
        <v>498</v>
      </c>
      <c r="L158" t="s">
        <v>546</v>
      </c>
    </row>
    <row r="159" spans="1:12" x14ac:dyDescent="0.3">
      <c r="A159" s="5"/>
      <c r="D159" s="5"/>
      <c r="E159" s="5"/>
      <c r="J159" s="3" t="s">
        <v>728</v>
      </c>
      <c r="K159" s="3" t="s">
        <v>498</v>
      </c>
      <c r="L159" t="s">
        <v>568</v>
      </c>
    </row>
    <row r="160" spans="1:12" x14ac:dyDescent="0.3">
      <c r="A160" s="5"/>
      <c r="D160" s="5"/>
      <c r="E160" s="5"/>
      <c r="J160" s="3" t="s">
        <v>729</v>
      </c>
      <c r="K160" s="3" t="s">
        <v>498</v>
      </c>
      <c r="L160" t="s">
        <v>590</v>
      </c>
    </row>
    <row r="161" spans="1:12" x14ac:dyDescent="0.3">
      <c r="A161" s="5"/>
      <c r="D161" s="5"/>
      <c r="E161" s="5"/>
      <c r="J161" s="3" t="s">
        <v>730</v>
      </c>
      <c r="K161" s="3" t="s">
        <v>498</v>
      </c>
      <c r="L161" t="s">
        <v>611</v>
      </c>
    </row>
    <row r="162" spans="1:12" x14ac:dyDescent="0.3">
      <c r="A162" s="5" t="s">
        <v>2496</v>
      </c>
      <c r="D162" s="5" t="s">
        <v>115</v>
      </c>
      <c r="E162" s="5" t="s">
        <v>240</v>
      </c>
      <c r="J162" s="3" t="s">
        <v>731</v>
      </c>
      <c r="K162" s="3" t="s">
        <v>498</v>
      </c>
      <c r="L162" t="s">
        <v>616</v>
      </c>
    </row>
    <row r="163" spans="1:12" x14ac:dyDescent="0.3">
      <c r="A163" s="5"/>
      <c r="D163" s="5"/>
      <c r="E163" s="5"/>
      <c r="J163" s="3" t="s">
        <v>732</v>
      </c>
      <c r="K163" s="3" t="s">
        <v>498</v>
      </c>
      <c r="L163" t="s">
        <v>514</v>
      </c>
    </row>
    <row r="164" spans="1:12" x14ac:dyDescent="0.3">
      <c r="A164" s="5"/>
      <c r="D164" s="5"/>
      <c r="E164" s="5"/>
      <c r="J164" s="3" t="s">
        <v>733</v>
      </c>
      <c r="K164" s="3" t="s">
        <v>516</v>
      </c>
      <c r="L164" t="s">
        <v>607</v>
      </c>
    </row>
    <row r="165" spans="1:12" x14ac:dyDescent="0.3">
      <c r="J165" s="3" t="s">
        <v>734</v>
      </c>
      <c r="K165" s="3" t="s">
        <v>498</v>
      </c>
      <c r="L165" t="s">
        <v>634</v>
      </c>
    </row>
    <row r="166" spans="1:12" x14ac:dyDescent="0.3">
      <c r="A166" s="5" t="s">
        <v>2497</v>
      </c>
      <c r="D166" s="5" t="s">
        <v>115</v>
      </c>
      <c r="E166" s="5" t="s">
        <v>240</v>
      </c>
      <c r="J166" s="3" t="s">
        <v>735</v>
      </c>
      <c r="K166" s="3" t="s">
        <v>498</v>
      </c>
      <c r="L166" t="s">
        <v>618</v>
      </c>
    </row>
    <row r="167" spans="1:12" x14ac:dyDescent="0.3">
      <c r="A167" s="5"/>
      <c r="D167" s="5"/>
      <c r="E167" s="5"/>
      <c r="J167" s="3" t="s">
        <v>736</v>
      </c>
      <c r="K167" s="3" t="s">
        <v>498</v>
      </c>
      <c r="L167" t="s">
        <v>620</v>
      </c>
    </row>
    <row r="168" spans="1:12" x14ac:dyDescent="0.3">
      <c r="A168" s="5"/>
      <c r="D168" s="5"/>
      <c r="E168" s="5"/>
      <c r="J168" s="3" t="s">
        <v>737</v>
      </c>
      <c r="K168" s="3" t="s">
        <v>498</v>
      </c>
      <c r="L168" t="s">
        <v>622</v>
      </c>
    </row>
    <row r="169" spans="1:12" x14ac:dyDescent="0.3">
      <c r="A169" s="5"/>
      <c r="D169" s="5"/>
      <c r="E169" s="5"/>
      <c r="J169" s="3" t="s">
        <v>738</v>
      </c>
      <c r="K169" s="3" t="s">
        <v>498</v>
      </c>
      <c r="L169" t="s">
        <v>522</v>
      </c>
    </row>
    <row r="170" spans="1:12" x14ac:dyDescent="0.3">
      <c r="A170" s="5" t="s">
        <v>2498</v>
      </c>
      <c r="D170" s="5" t="s">
        <v>115</v>
      </c>
      <c r="E170" s="5" t="s">
        <v>240</v>
      </c>
      <c r="J170" s="3" t="s">
        <v>739</v>
      </c>
      <c r="K170" s="3" t="s">
        <v>498</v>
      </c>
      <c r="L170" t="s">
        <v>522</v>
      </c>
    </row>
    <row r="171" spans="1:12" x14ac:dyDescent="0.3">
      <c r="A171" s="5"/>
      <c r="D171" s="5"/>
      <c r="E171" s="5"/>
      <c r="J171" s="3" t="s">
        <v>740</v>
      </c>
      <c r="K171" s="3" t="s">
        <v>498</v>
      </c>
      <c r="L171" t="s">
        <v>522</v>
      </c>
    </row>
    <row r="172" spans="1:12" x14ac:dyDescent="0.3">
      <c r="A172" s="5"/>
      <c r="D172" s="5"/>
      <c r="E172" s="5"/>
      <c r="J172" s="3" t="s">
        <v>741</v>
      </c>
      <c r="K172" s="3" t="s">
        <v>498</v>
      </c>
      <c r="L172" t="s">
        <v>636</v>
      </c>
    </row>
    <row r="173" spans="1:12" x14ac:dyDescent="0.3">
      <c r="J173" s="3" t="s">
        <v>742</v>
      </c>
      <c r="K173" s="3" t="s">
        <v>498</v>
      </c>
      <c r="L173" t="s">
        <v>522</v>
      </c>
    </row>
    <row r="174" spans="1:12" x14ac:dyDescent="0.3">
      <c r="A174" s="5" t="s">
        <v>2499</v>
      </c>
      <c r="D174" s="5" t="s">
        <v>115</v>
      </c>
      <c r="E174" s="5" t="s">
        <v>311</v>
      </c>
      <c r="J174" s="3" t="s">
        <v>743</v>
      </c>
      <c r="K174" s="3" t="s">
        <v>498</v>
      </c>
      <c r="L174" t="s">
        <v>522</v>
      </c>
    </row>
    <row r="175" spans="1:12" x14ac:dyDescent="0.3">
      <c r="A175" s="5"/>
      <c r="D175" s="5"/>
      <c r="E175" s="5"/>
      <c r="J175" s="3" t="s">
        <v>744</v>
      </c>
      <c r="K175" s="3" t="s">
        <v>498</v>
      </c>
      <c r="L175" t="s">
        <v>638</v>
      </c>
    </row>
    <row r="176" spans="1:12" x14ac:dyDescent="0.3">
      <c r="A176" s="5" t="s">
        <v>491</v>
      </c>
      <c r="D176" s="5">
        <v>1</v>
      </c>
      <c r="E176" s="5">
        <v>27</v>
      </c>
      <c r="F176" t="s">
        <v>493</v>
      </c>
      <c r="G176" t="s">
        <v>239</v>
      </c>
      <c r="J176" s="3" t="s">
        <v>745</v>
      </c>
      <c r="K176" s="3" t="s">
        <v>498</v>
      </c>
      <c r="L176" t="s">
        <v>640</v>
      </c>
    </row>
    <row r="177" spans="1:12" x14ac:dyDescent="0.3">
      <c r="A177" s="5"/>
      <c r="D177" s="5"/>
      <c r="E177" s="5"/>
      <c r="J177" s="3" t="s">
        <v>746</v>
      </c>
      <c r="K177" s="3" t="s">
        <v>498</v>
      </c>
      <c r="L177" t="s">
        <v>522</v>
      </c>
    </row>
    <row r="178" spans="1:12" x14ac:dyDescent="0.3">
      <c r="A178" s="5" t="s">
        <v>2500</v>
      </c>
      <c r="D178" s="5" t="s">
        <v>115</v>
      </c>
      <c r="E178" s="5" t="s">
        <v>240</v>
      </c>
      <c r="J178" s="3" t="s">
        <v>747</v>
      </c>
      <c r="K178" s="3" t="s">
        <v>498</v>
      </c>
      <c r="L178" t="s">
        <v>748</v>
      </c>
    </row>
    <row r="179" spans="1:12" x14ac:dyDescent="0.3">
      <c r="A179" s="5"/>
      <c r="D179" s="5"/>
      <c r="E179" s="5"/>
      <c r="J179" s="3" t="s">
        <v>749</v>
      </c>
      <c r="K179" s="3" t="s">
        <v>498</v>
      </c>
      <c r="L179" t="s">
        <v>642</v>
      </c>
    </row>
    <row r="180" spans="1:12" x14ac:dyDescent="0.3">
      <c r="A180" s="5"/>
      <c r="D180" s="5"/>
      <c r="E180" s="5"/>
      <c r="J180" s="3" t="s">
        <v>750</v>
      </c>
      <c r="K180" s="3" t="s">
        <v>498</v>
      </c>
      <c r="L180" t="s">
        <v>751</v>
      </c>
    </row>
    <row r="181" spans="1:12" x14ac:dyDescent="0.3">
      <c r="A181" s="5"/>
      <c r="D181" s="5"/>
      <c r="E181" s="5"/>
      <c r="J181" s="3" t="s">
        <v>752</v>
      </c>
      <c r="K181" s="3" t="s">
        <v>498</v>
      </c>
      <c r="L181" t="s">
        <v>753</v>
      </c>
    </row>
    <row r="182" spans="1:12" x14ac:dyDescent="0.3">
      <c r="A182" s="5" t="s">
        <v>2501</v>
      </c>
      <c r="D182" s="5" t="s">
        <v>115</v>
      </c>
      <c r="E182" s="5" t="s">
        <v>494</v>
      </c>
      <c r="J182" s="3" t="s">
        <v>754</v>
      </c>
      <c r="K182" s="3" t="s">
        <v>498</v>
      </c>
      <c r="L182" t="s">
        <v>755</v>
      </c>
    </row>
    <row r="183" spans="1:12" x14ac:dyDescent="0.3">
      <c r="A183" s="5"/>
      <c r="D183" s="5"/>
      <c r="E183" s="5"/>
      <c r="J183" s="3" t="s">
        <v>756</v>
      </c>
      <c r="K183" s="3" t="s">
        <v>498</v>
      </c>
      <c r="L183" t="s">
        <v>757</v>
      </c>
    </row>
    <row r="184" spans="1:12" x14ac:dyDescent="0.3">
      <c r="A184" s="5" t="s">
        <v>377</v>
      </c>
      <c r="D184" s="5">
        <v>1</v>
      </c>
      <c r="E184" s="5">
        <v>8</v>
      </c>
      <c r="F184" t="s">
        <v>177</v>
      </c>
      <c r="G184" t="s">
        <v>235</v>
      </c>
      <c r="J184" s="3" t="s">
        <v>758</v>
      </c>
      <c r="K184" s="3" t="s">
        <v>498</v>
      </c>
      <c r="L184" t="s">
        <v>759</v>
      </c>
    </row>
    <row r="185" spans="1:12" x14ac:dyDescent="0.3">
      <c r="J185" s="3" t="s">
        <v>760</v>
      </c>
      <c r="K185" s="3" t="s">
        <v>498</v>
      </c>
      <c r="L185" t="s">
        <v>761</v>
      </c>
    </row>
    <row r="186" spans="1:12" x14ac:dyDescent="0.3">
      <c r="A186" s="5" t="s">
        <v>2502</v>
      </c>
      <c r="D186" s="5" t="s">
        <v>115</v>
      </c>
      <c r="E186" s="5" t="s">
        <v>240</v>
      </c>
      <c r="J186" s="3" t="s">
        <v>762</v>
      </c>
      <c r="K186" s="3" t="s">
        <v>498</v>
      </c>
      <c r="L186" t="s">
        <v>763</v>
      </c>
    </row>
    <row r="187" spans="1:12" x14ac:dyDescent="0.3">
      <c r="A187" s="5"/>
      <c r="D187" s="5"/>
      <c r="E187" s="5"/>
      <c r="J187" s="3" t="s">
        <v>764</v>
      </c>
      <c r="K187" s="3" t="s">
        <v>498</v>
      </c>
      <c r="L187" t="s">
        <v>765</v>
      </c>
    </row>
    <row r="188" spans="1:12" x14ac:dyDescent="0.3">
      <c r="A188" s="5"/>
      <c r="D188" s="5"/>
      <c r="E188" s="5"/>
      <c r="J188" s="3" t="s">
        <v>766</v>
      </c>
      <c r="K188" s="3" t="s">
        <v>498</v>
      </c>
      <c r="L188" t="s">
        <v>767</v>
      </c>
    </row>
    <row r="189" spans="1:12" x14ac:dyDescent="0.3">
      <c r="J189" s="3" t="s">
        <v>768</v>
      </c>
      <c r="K189" s="3" t="s">
        <v>498</v>
      </c>
      <c r="L189" t="s">
        <v>769</v>
      </c>
    </row>
    <row r="190" spans="1:12" x14ac:dyDescent="0.3">
      <c r="A190" s="5" t="s">
        <v>2503</v>
      </c>
      <c r="D190" s="5" t="s">
        <v>115</v>
      </c>
      <c r="E190" s="5" t="s">
        <v>495</v>
      </c>
      <c r="J190" s="3" t="s">
        <v>770</v>
      </c>
      <c r="K190" s="3" t="s">
        <v>498</v>
      </c>
      <c r="L190" t="s">
        <v>522</v>
      </c>
    </row>
    <row r="191" spans="1:12" x14ac:dyDescent="0.3">
      <c r="A191" s="5"/>
      <c r="D191" s="5"/>
      <c r="E191" s="5"/>
      <c r="J191" s="3" t="s">
        <v>771</v>
      </c>
      <c r="K191" s="3" t="s">
        <v>498</v>
      </c>
      <c r="L191" t="s">
        <v>772</v>
      </c>
    </row>
    <row r="192" spans="1:12" x14ac:dyDescent="0.3">
      <c r="A192" s="5" t="s">
        <v>496</v>
      </c>
      <c r="D192" s="5">
        <v>1</v>
      </c>
      <c r="E192" s="5">
        <v>9</v>
      </c>
      <c r="F192" t="s">
        <v>221</v>
      </c>
      <c r="G192" t="s">
        <v>235</v>
      </c>
      <c r="J192" s="3" t="s">
        <v>773</v>
      </c>
      <c r="K192" s="3" t="s">
        <v>498</v>
      </c>
      <c r="L192" t="s">
        <v>774</v>
      </c>
    </row>
    <row r="193" spans="1:12" x14ac:dyDescent="0.3">
      <c r="A193" t="s">
        <v>122</v>
      </c>
      <c r="D193">
        <v>10</v>
      </c>
      <c r="E193">
        <v>11</v>
      </c>
      <c r="F193" t="s">
        <v>221</v>
      </c>
      <c r="G193" t="s">
        <v>235</v>
      </c>
      <c r="J193" s="3" t="s">
        <v>775</v>
      </c>
      <c r="K193" s="3" t="s">
        <v>498</v>
      </c>
      <c r="L193" t="s">
        <v>776</v>
      </c>
    </row>
    <row r="194" spans="1:12" x14ac:dyDescent="0.3">
      <c r="A194" s="5"/>
      <c r="D194" s="5"/>
      <c r="E194" s="5"/>
      <c r="J194" s="3" t="s">
        <v>777</v>
      </c>
      <c r="K194" s="3" t="s">
        <v>498</v>
      </c>
      <c r="L194" t="s">
        <v>778</v>
      </c>
    </row>
    <row r="195" spans="1:12" x14ac:dyDescent="0.3">
      <c r="A195" s="5" t="s">
        <v>2504</v>
      </c>
      <c r="D195" s="5" t="s">
        <v>115</v>
      </c>
      <c r="E195" s="5" t="s">
        <v>240</v>
      </c>
      <c r="H195" s="3"/>
      <c r="I195" s="3"/>
      <c r="J195" s="3" t="s">
        <v>779</v>
      </c>
      <c r="K195" s="3" t="s">
        <v>498</v>
      </c>
      <c r="L195" t="s">
        <v>780</v>
      </c>
    </row>
    <row r="196" spans="1:12" x14ac:dyDescent="0.3">
      <c r="A196" s="5"/>
      <c r="D196" s="5"/>
      <c r="E196" s="5"/>
      <c r="J196" s="3" t="s">
        <v>781</v>
      </c>
      <c r="K196" s="3" t="s">
        <v>498</v>
      </c>
      <c r="L196" t="s">
        <v>782</v>
      </c>
    </row>
    <row r="197" spans="1:12" x14ac:dyDescent="0.3">
      <c r="A197" s="5"/>
      <c r="D197" s="5"/>
      <c r="E197" s="5"/>
      <c r="J197" s="3" t="s">
        <v>783</v>
      </c>
      <c r="K197" s="3" t="s">
        <v>498</v>
      </c>
      <c r="L197" t="s">
        <v>784</v>
      </c>
    </row>
    <row r="198" spans="1:12" x14ac:dyDescent="0.3">
      <c r="A198" s="5"/>
      <c r="D198" s="5"/>
      <c r="E198" s="5"/>
      <c r="I198" s="3"/>
      <c r="J198" s="3" t="s">
        <v>785</v>
      </c>
      <c r="K198" s="3" t="s">
        <v>498</v>
      </c>
      <c r="L198" t="s">
        <v>786</v>
      </c>
    </row>
    <row r="199" spans="1:12" x14ac:dyDescent="0.3">
      <c r="A199" s="5" t="s">
        <v>2505</v>
      </c>
      <c r="D199" s="5" t="s">
        <v>115</v>
      </c>
      <c r="E199" s="5" t="s">
        <v>240</v>
      </c>
      <c r="I199" s="3"/>
      <c r="J199" s="3" t="s">
        <v>787</v>
      </c>
      <c r="K199" s="3" t="s">
        <v>498</v>
      </c>
      <c r="L199" t="s">
        <v>788</v>
      </c>
    </row>
    <row r="200" spans="1:12" x14ac:dyDescent="0.3">
      <c r="A200" s="5"/>
      <c r="D200" s="5"/>
      <c r="E200" s="5"/>
      <c r="J200" s="3" t="s">
        <v>789</v>
      </c>
      <c r="K200" s="3" t="s">
        <v>498</v>
      </c>
      <c r="L200" t="s">
        <v>790</v>
      </c>
    </row>
    <row r="201" spans="1:12" x14ac:dyDescent="0.3">
      <c r="A201" s="5"/>
      <c r="D201" s="5"/>
      <c r="E201" s="5"/>
      <c r="J201" s="3" t="s">
        <v>791</v>
      </c>
      <c r="K201" s="3" t="s">
        <v>498</v>
      </c>
      <c r="L201" t="s">
        <v>628</v>
      </c>
    </row>
    <row r="202" spans="1:12" x14ac:dyDescent="0.3">
      <c r="A202" s="5"/>
      <c r="D202" s="5"/>
      <c r="E202" s="5"/>
      <c r="J202" s="3" t="s">
        <v>792</v>
      </c>
      <c r="K202" s="3" t="s">
        <v>498</v>
      </c>
      <c r="L202" t="s">
        <v>793</v>
      </c>
    </row>
    <row r="203" spans="1:12" x14ac:dyDescent="0.3">
      <c r="A203" s="5" t="s">
        <v>2567</v>
      </c>
      <c r="D203" s="5" t="s">
        <v>115</v>
      </c>
      <c r="E203" s="5" t="s">
        <v>2786</v>
      </c>
      <c r="J203" s="3" t="s">
        <v>794</v>
      </c>
      <c r="K203" s="3" t="s">
        <v>498</v>
      </c>
      <c r="L203" t="s">
        <v>795</v>
      </c>
    </row>
    <row r="204" spans="1:12" x14ac:dyDescent="0.3">
      <c r="A204" s="5"/>
      <c r="B204" s="5"/>
      <c r="C204" s="5"/>
      <c r="D204" s="5"/>
      <c r="E204" s="5"/>
      <c r="F204" s="5"/>
      <c r="G204" s="5"/>
      <c r="J204" s="3" t="s">
        <v>796</v>
      </c>
      <c r="K204" s="3" t="s">
        <v>498</v>
      </c>
      <c r="L204" t="s">
        <v>797</v>
      </c>
    </row>
    <row r="205" spans="1:12" x14ac:dyDescent="0.3">
      <c r="A205" s="5" t="s">
        <v>325</v>
      </c>
      <c r="B205" s="5"/>
      <c r="C205" s="5"/>
      <c r="D205" s="5">
        <v>1</v>
      </c>
      <c r="E205" s="5">
        <v>131</v>
      </c>
      <c r="F205" s="5" t="s">
        <v>2568</v>
      </c>
      <c r="G205" s="5" t="s">
        <v>235</v>
      </c>
      <c r="J205" s="3" t="s">
        <v>798</v>
      </c>
      <c r="K205" s="3" t="s">
        <v>498</v>
      </c>
      <c r="L205" t="s">
        <v>799</v>
      </c>
    </row>
    <row r="206" spans="1:12" x14ac:dyDescent="0.3">
      <c r="A206" s="5" t="s">
        <v>2569</v>
      </c>
      <c r="B206" s="5"/>
      <c r="C206" s="5"/>
      <c r="D206" s="5">
        <v>132</v>
      </c>
      <c r="E206" s="5">
        <v>36</v>
      </c>
      <c r="F206" s="5" t="s">
        <v>2568</v>
      </c>
      <c r="G206" s="5" t="s">
        <v>235</v>
      </c>
      <c r="J206" s="3" t="s">
        <v>800</v>
      </c>
      <c r="K206" s="3" t="s">
        <v>498</v>
      </c>
      <c r="L206" t="s">
        <v>801</v>
      </c>
    </row>
    <row r="207" spans="1:12" x14ac:dyDescent="0.3">
      <c r="A207" t="s">
        <v>435</v>
      </c>
      <c r="D207">
        <v>168</v>
      </c>
      <c r="E207">
        <v>128</v>
      </c>
      <c r="F207" t="s">
        <v>2568</v>
      </c>
      <c r="G207" t="s">
        <v>239</v>
      </c>
      <c r="J207" s="3" t="s">
        <v>802</v>
      </c>
      <c r="K207" s="3" t="s">
        <v>498</v>
      </c>
      <c r="L207" t="s">
        <v>803</v>
      </c>
    </row>
    <row r="208" spans="1:12" x14ac:dyDescent="0.3">
      <c r="A208" t="s">
        <v>2570</v>
      </c>
      <c r="D208">
        <v>296</v>
      </c>
      <c r="E208">
        <v>178</v>
      </c>
      <c r="F208" t="s">
        <v>2568</v>
      </c>
      <c r="G208" t="s">
        <v>235</v>
      </c>
      <c r="J208" s="3" t="s">
        <v>804</v>
      </c>
      <c r="K208" s="3" t="s">
        <v>498</v>
      </c>
      <c r="L208" t="s">
        <v>805</v>
      </c>
    </row>
    <row r="209" spans="1:12" x14ac:dyDescent="0.3">
      <c r="A209" s="5" t="s">
        <v>2571</v>
      </c>
      <c r="D209" s="5">
        <v>474</v>
      </c>
      <c r="E209" s="5">
        <v>24</v>
      </c>
      <c r="F209" t="s">
        <v>2568</v>
      </c>
      <c r="G209" t="s">
        <v>239</v>
      </c>
      <c r="J209" s="3" t="s">
        <v>806</v>
      </c>
      <c r="K209" s="3" t="s">
        <v>498</v>
      </c>
      <c r="L209" t="s">
        <v>807</v>
      </c>
    </row>
    <row r="210" spans="1:12" x14ac:dyDescent="0.3">
      <c r="A210" t="s">
        <v>2572</v>
      </c>
      <c r="D210">
        <v>498</v>
      </c>
      <c r="E210">
        <v>70</v>
      </c>
      <c r="F210" t="s">
        <v>2568</v>
      </c>
      <c r="G210" t="s">
        <v>239</v>
      </c>
      <c r="J210" s="3" t="s">
        <v>808</v>
      </c>
      <c r="K210" s="3" t="s">
        <v>498</v>
      </c>
      <c r="L210" t="s">
        <v>809</v>
      </c>
    </row>
    <row r="211" spans="1:12" x14ac:dyDescent="0.3">
      <c r="A211" t="s">
        <v>2540</v>
      </c>
      <c r="D211">
        <v>568</v>
      </c>
      <c r="E211">
        <v>117</v>
      </c>
      <c r="F211" t="s">
        <v>2568</v>
      </c>
      <c r="G211" t="s">
        <v>239</v>
      </c>
      <c r="H211" s="3"/>
      <c r="J211" s="3" t="s">
        <v>810</v>
      </c>
      <c r="K211" s="3" t="s">
        <v>498</v>
      </c>
      <c r="L211" t="s">
        <v>811</v>
      </c>
    </row>
    <row r="212" spans="1:12" x14ac:dyDescent="0.3">
      <c r="A212" s="5"/>
      <c r="D212" s="5"/>
      <c r="E212" s="5"/>
      <c r="J212" s="3" t="s">
        <v>812</v>
      </c>
      <c r="K212" s="3" t="s">
        <v>498</v>
      </c>
      <c r="L212" t="s">
        <v>630</v>
      </c>
    </row>
    <row r="213" spans="1:12" x14ac:dyDescent="0.3">
      <c r="A213" s="5" t="s">
        <v>222</v>
      </c>
      <c r="J213" s="3" t="s">
        <v>813</v>
      </c>
      <c r="K213" s="3" t="s">
        <v>498</v>
      </c>
      <c r="L213" t="s">
        <v>814</v>
      </c>
    </row>
    <row r="214" spans="1:12" x14ac:dyDescent="0.3">
      <c r="A214" s="5" t="s">
        <v>48</v>
      </c>
      <c r="B214" s="5"/>
      <c r="C214" s="5"/>
      <c r="D214" s="5" t="s">
        <v>224</v>
      </c>
      <c r="E214" s="5" t="s">
        <v>242</v>
      </c>
      <c r="F214" s="5" t="s">
        <v>223</v>
      </c>
      <c r="G214" s="5" t="s">
        <v>243</v>
      </c>
      <c r="J214" s="3" t="s">
        <v>815</v>
      </c>
      <c r="K214" s="3" t="s">
        <v>498</v>
      </c>
      <c r="L214" t="s">
        <v>816</v>
      </c>
    </row>
    <row r="215" spans="1:12" x14ac:dyDescent="0.3">
      <c r="A215" s="5"/>
      <c r="D215" s="5"/>
      <c r="E215" s="5"/>
      <c r="J215" s="3" t="s">
        <v>817</v>
      </c>
      <c r="K215" s="3" t="s">
        <v>498</v>
      </c>
      <c r="L215" t="s">
        <v>818</v>
      </c>
    </row>
    <row r="216" spans="1:12" x14ac:dyDescent="0.3">
      <c r="A216" t="s">
        <v>444</v>
      </c>
      <c r="D216">
        <v>252</v>
      </c>
      <c r="E216">
        <v>53</v>
      </c>
      <c r="F216" t="s">
        <v>440</v>
      </c>
      <c r="G216" t="s">
        <v>235</v>
      </c>
      <c r="J216" s="3" t="s">
        <v>819</v>
      </c>
      <c r="K216" s="3" t="s">
        <v>498</v>
      </c>
      <c r="L216" t="s">
        <v>820</v>
      </c>
    </row>
    <row r="217" spans="1:12" x14ac:dyDescent="0.3">
      <c r="A217" t="s">
        <v>448</v>
      </c>
      <c r="D217">
        <v>378</v>
      </c>
      <c r="E217">
        <v>87</v>
      </c>
      <c r="F217" t="s">
        <v>440</v>
      </c>
      <c r="G217" t="s">
        <v>235</v>
      </c>
      <c r="J217" s="3" t="s">
        <v>821</v>
      </c>
      <c r="K217" s="3" t="s">
        <v>498</v>
      </c>
      <c r="L217" t="s">
        <v>822</v>
      </c>
    </row>
    <row r="218" spans="1:12" x14ac:dyDescent="0.3">
      <c r="A218" s="5" t="s">
        <v>379</v>
      </c>
      <c r="D218" s="5">
        <v>233</v>
      </c>
      <c r="E218" s="5">
        <v>9</v>
      </c>
      <c r="F218" t="s">
        <v>479</v>
      </c>
      <c r="G218" t="s">
        <v>235</v>
      </c>
      <c r="J218" s="3" t="s">
        <v>823</v>
      </c>
      <c r="K218" s="3" t="s">
        <v>498</v>
      </c>
      <c r="L218" t="s">
        <v>824</v>
      </c>
    </row>
    <row r="219" spans="1:12" x14ac:dyDescent="0.3">
      <c r="A219" s="5" t="s">
        <v>436</v>
      </c>
      <c r="D219" s="5">
        <v>382</v>
      </c>
      <c r="E219" s="5">
        <v>11</v>
      </c>
      <c r="F219" t="s">
        <v>430</v>
      </c>
      <c r="G219" t="s">
        <v>235</v>
      </c>
      <c r="J219" s="3" t="s">
        <v>825</v>
      </c>
      <c r="K219" s="3" t="s">
        <v>498</v>
      </c>
      <c r="L219" t="s">
        <v>826</v>
      </c>
    </row>
    <row r="220" spans="1:12" x14ac:dyDescent="0.3">
      <c r="A220" t="s">
        <v>488</v>
      </c>
      <c r="D220">
        <v>1</v>
      </c>
      <c r="E220">
        <v>5</v>
      </c>
      <c r="F220" t="s">
        <v>489</v>
      </c>
      <c r="G220" t="s">
        <v>235</v>
      </c>
      <c r="J220" s="3" t="s">
        <v>827</v>
      </c>
      <c r="K220" s="3" t="s">
        <v>498</v>
      </c>
      <c r="L220" t="s">
        <v>828</v>
      </c>
    </row>
    <row r="221" spans="1:12" x14ac:dyDescent="0.3">
      <c r="A221" t="s">
        <v>462</v>
      </c>
      <c r="D221">
        <v>1</v>
      </c>
      <c r="E221">
        <v>3</v>
      </c>
      <c r="F221" t="s">
        <v>463</v>
      </c>
      <c r="G221" t="s">
        <v>235</v>
      </c>
      <c r="H221" s="3"/>
      <c r="J221" s="3" t="s">
        <v>829</v>
      </c>
      <c r="K221" s="3" t="s">
        <v>498</v>
      </c>
      <c r="L221" t="s">
        <v>830</v>
      </c>
    </row>
    <row r="222" spans="1:12" x14ac:dyDescent="0.3">
      <c r="A222" t="s">
        <v>469</v>
      </c>
      <c r="D222">
        <v>156</v>
      </c>
      <c r="E222">
        <v>26</v>
      </c>
      <c r="F222" t="s">
        <v>466</v>
      </c>
      <c r="G222" t="s">
        <v>235</v>
      </c>
      <c r="J222" s="3" t="s">
        <v>831</v>
      </c>
      <c r="K222" s="3" t="s">
        <v>498</v>
      </c>
      <c r="L222" t="s">
        <v>832</v>
      </c>
    </row>
    <row r="223" spans="1:12" x14ac:dyDescent="0.3">
      <c r="A223" s="5" t="s">
        <v>484</v>
      </c>
      <c r="D223" s="5">
        <v>1</v>
      </c>
      <c r="E223" s="5">
        <v>3</v>
      </c>
      <c r="F223" t="s">
        <v>485</v>
      </c>
      <c r="G223" t="s">
        <v>235</v>
      </c>
      <c r="J223" s="3" t="s">
        <v>833</v>
      </c>
      <c r="K223" s="3" t="s">
        <v>498</v>
      </c>
      <c r="L223" t="s">
        <v>632</v>
      </c>
    </row>
    <row r="224" spans="1:12" x14ac:dyDescent="0.3">
      <c r="A224" t="s">
        <v>470</v>
      </c>
      <c r="D224">
        <v>182</v>
      </c>
      <c r="E224">
        <v>20</v>
      </c>
      <c r="F224" t="s">
        <v>466</v>
      </c>
      <c r="G224" t="s">
        <v>235</v>
      </c>
      <c r="J224" s="3" t="s">
        <v>834</v>
      </c>
      <c r="K224" s="3" t="s">
        <v>498</v>
      </c>
      <c r="L224" t="s">
        <v>835</v>
      </c>
    </row>
    <row r="225" spans="1:12" x14ac:dyDescent="0.3">
      <c r="A225" s="5" t="s">
        <v>486</v>
      </c>
      <c r="D225" s="5">
        <v>4</v>
      </c>
      <c r="E225" s="5">
        <v>10</v>
      </c>
      <c r="F225" t="s">
        <v>485</v>
      </c>
      <c r="G225" t="s">
        <v>235</v>
      </c>
      <c r="J225" s="3" t="s">
        <v>836</v>
      </c>
      <c r="K225" s="3" t="s">
        <v>498</v>
      </c>
      <c r="L225" t="s">
        <v>835</v>
      </c>
    </row>
    <row r="226" spans="1:12" x14ac:dyDescent="0.3">
      <c r="A226" s="5" t="s">
        <v>480</v>
      </c>
      <c r="D226" s="5">
        <v>59</v>
      </c>
      <c r="E226" s="5">
        <v>29</v>
      </c>
      <c r="F226" t="s">
        <v>479</v>
      </c>
      <c r="G226" t="s">
        <v>235</v>
      </c>
      <c r="J226" s="3" t="s">
        <v>837</v>
      </c>
      <c r="K226" s="3" t="s">
        <v>498</v>
      </c>
      <c r="L226" t="s">
        <v>835</v>
      </c>
    </row>
    <row r="227" spans="1:12" x14ac:dyDescent="0.3">
      <c r="A227" s="5" t="s">
        <v>465</v>
      </c>
      <c r="D227" s="5">
        <v>1</v>
      </c>
      <c r="E227" s="5">
        <v>12</v>
      </c>
      <c r="F227" t="s">
        <v>466</v>
      </c>
      <c r="G227" t="s">
        <v>235</v>
      </c>
      <c r="J227" s="3" t="s">
        <v>838</v>
      </c>
      <c r="K227" s="3" t="s">
        <v>498</v>
      </c>
      <c r="L227" t="s">
        <v>839</v>
      </c>
    </row>
    <row r="228" spans="1:12" x14ac:dyDescent="0.3">
      <c r="A228" s="5" t="s">
        <v>467</v>
      </c>
      <c r="D228" s="5">
        <v>13</v>
      </c>
      <c r="E228" s="5">
        <v>28</v>
      </c>
      <c r="F228" t="s">
        <v>466</v>
      </c>
      <c r="G228" t="s">
        <v>235</v>
      </c>
      <c r="J228" s="3" t="s">
        <v>840</v>
      </c>
      <c r="K228" s="3" t="s">
        <v>498</v>
      </c>
      <c r="L228" t="s">
        <v>841</v>
      </c>
    </row>
    <row r="229" spans="1:12" x14ac:dyDescent="0.3">
      <c r="A229" t="s">
        <v>468</v>
      </c>
      <c r="D229">
        <v>41</v>
      </c>
      <c r="E229">
        <v>115</v>
      </c>
      <c r="F229" t="s">
        <v>466</v>
      </c>
      <c r="G229" t="s">
        <v>235</v>
      </c>
      <c r="J229" s="3" t="s">
        <v>842</v>
      </c>
      <c r="K229" s="3" t="s">
        <v>498</v>
      </c>
      <c r="L229" t="s">
        <v>843</v>
      </c>
    </row>
    <row r="230" spans="1:12" x14ac:dyDescent="0.3">
      <c r="A230" s="5" t="s">
        <v>471</v>
      </c>
      <c r="D230" s="5">
        <v>202</v>
      </c>
      <c r="E230" s="5">
        <v>33</v>
      </c>
      <c r="F230" t="s">
        <v>466</v>
      </c>
      <c r="G230" t="s">
        <v>235</v>
      </c>
      <c r="J230" s="3" t="s">
        <v>844</v>
      </c>
      <c r="K230" s="3" t="s">
        <v>498</v>
      </c>
      <c r="L230" t="s">
        <v>845</v>
      </c>
    </row>
    <row r="231" spans="1:12" x14ac:dyDescent="0.3">
      <c r="A231" t="s">
        <v>473</v>
      </c>
      <c r="D231">
        <v>270</v>
      </c>
      <c r="E231">
        <v>51</v>
      </c>
      <c r="F231" t="s">
        <v>466</v>
      </c>
      <c r="G231" t="s">
        <v>235</v>
      </c>
      <c r="J231" s="3" t="s">
        <v>846</v>
      </c>
      <c r="K231" s="3" t="s">
        <v>498</v>
      </c>
      <c r="L231" t="s">
        <v>634</v>
      </c>
    </row>
    <row r="232" spans="1:12" x14ac:dyDescent="0.3">
      <c r="A232" s="5" t="s">
        <v>472</v>
      </c>
      <c r="B232" s="5"/>
      <c r="C232" s="5"/>
      <c r="D232" s="5">
        <v>235</v>
      </c>
      <c r="E232" s="5">
        <v>35</v>
      </c>
      <c r="F232" s="5" t="s">
        <v>466</v>
      </c>
      <c r="G232" s="5" t="s">
        <v>235</v>
      </c>
      <c r="J232" s="3" t="s">
        <v>847</v>
      </c>
      <c r="K232" s="3" t="s">
        <v>498</v>
      </c>
      <c r="L232" t="s">
        <v>848</v>
      </c>
    </row>
    <row r="233" spans="1:12" x14ac:dyDescent="0.3">
      <c r="A233" t="s">
        <v>490</v>
      </c>
      <c r="D233">
        <v>6</v>
      </c>
      <c r="E233">
        <v>4</v>
      </c>
      <c r="F233" t="s">
        <v>489</v>
      </c>
      <c r="G233" t="s">
        <v>235</v>
      </c>
      <c r="J233" s="3" t="s">
        <v>849</v>
      </c>
      <c r="K233" s="3" t="s">
        <v>498</v>
      </c>
      <c r="L233" t="s">
        <v>850</v>
      </c>
    </row>
    <row r="234" spans="1:12" x14ac:dyDescent="0.3">
      <c r="A234" s="5" t="s">
        <v>476</v>
      </c>
      <c r="D234" s="5">
        <v>397</v>
      </c>
      <c r="E234" s="5">
        <v>4</v>
      </c>
      <c r="F234" t="s">
        <v>466</v>
      </c>
      <c r="G234" t="s">
        <v>235</v>
      </c>
      <c r="J234" s="3" t="s">
        <v>851</v>
      </c>
      <c r="K234" s="3" t="s">
        <v>498</v>
      </c>
      <c r="L234" t="s">
        <v>852</v>
      </c>
    </row>
    <row r="235" spans="1:12" x14ac:dyDescent="0.3">
      <c r="A235" s="5" t="s">
        <v>442</v>
      </c>
      <c r="D235" s="5">
        <v>76</v>
      </c>
      <c r="E235" s="5">
        <v>83</v>
      </c>
      <c r="F235" t="s">
        <v>440</v>
      </c>
      <c r="G235" t="s">
        <v>235</v>
      </c>
      <c r="J235" s="3" t="s">
        <v>853</v>
      </c>
      <c r="K235" s="3" t="s">
        <v>498</v>
      </c>
      <c r="L235" t="s">
        <v>854</v>
      </c>
    </row>
    <row r="236" spans="1:12" x14ac:dyDescent="0.3">
      <c r="A236" s="5" t="s">
        <v>441</v>
      </c>
      <c r="D236" s="5">
        <v>50</v>
      </c>
      <c r="E236" s="5">
        <v>26</v>
      </c>
      <c r="F236" t="s">
        <v>440</v>
      </c>
      <c r="G236" t="s">
        <v>239</v>
      </c>
      <c r="J236" s="3" t="s">
        <v>855</v>
      </c>
      <c r="K236" s="3" t="s">
        <v>498</v>
      </c>
      <c r="L236" t="s">
        <v>856</v>
      </c>
    </row>
    <row r="237" spans="1:12" x14ac:dyDescent="0.3">
      <c r="A237" s="5" t="s">
        <v>449</v>
      </c>
      <c r="D237" s="5">
        <v>465</v>
      </c>
      <c r="E237" s="5">
        <v>22</v>
      </c>
      <c r="F237" t="s">
        <v>440</v>
      </c>
      <c r="G237" t="s">
        <v>235</v>
      </c>
      <c r="J237" s="3" t="s">
        <v>857</v>
      </c>
      <c r="K237" s="3" t="s">
        <v>498</v>
      </c>
      <c r="L237" t="s">
        <v>858</v>
      </c>
    </row>
    <row r="238" spans="1:12" x14ac:dyDescent="0.3">
      <c r="A238" t="s">
        <v>491</v>
      </c>
      <c r="D238">
        <v>294</v>
      </c>
      <c r="E238">
        <v>26</v>
      </c>
      <c r="F238" t="s">
        <v>245</v>
      </c>
      <c r="G238" t="s">
        <v>239</v>
      </c>
      <c r="J238" s="3" t="s">
        <v>859</v>
      </c>
      <c r="K238" s="3" t="s">
        <v>498</v>
      </c>
      <c r="L238" t="s">
        <v>860</v>
      </c>
    </row>
    <row r="239" spans="1:12" x14ac:dyDescent="0.3">
      <c r="A239" s="5" t="s">
        <v>491</v>
      </c>
      <c r="D239" s="5">
        <v>1</v>
      </c>
      <c r="E239" s="5">
        <v>27</v>
      </c>
      <c r="F239" t="s">
        <v>493</v>
      </c>
      <c r="G239" t="s">
        <v>239</v>
      </c>
      <c r="J239" s="3" t="s">
        <v>861</v>
      </c>
      <c r="K239" s="3" t="s">
        <v>498</v>
      </c>
      <c r="L239" t="s">
        <v>862</v>
      </c>
    </row>
    <row r="240" spans="1:12" x14ac:dyDescent="0.3">
      <c r="A240" s="5" t="s">
        <v>366</v>
      </c>
      <c r="D240" s="5">
        <v>555</v>
      </c>
      <c r="E240" s="5">
        <v>10</v>
      </c>
      <c r="F240" t="s">
        <v>440</v>
      </c>
      <c r="G240" t="s">
        <v>235</v>
      </c>
      <c r="J240" s="3" t="s">
        <v>863</v>
      </c>
      <c r="K240" s="3" t="s">
        <v>498</v>
      </c>
      <c r="L240" t="s">
        <v>864</v>
      </c>
    </row>
    <row r="241" spans="1:12" x14ac:dyDescent="0.3">
      <c r="A241" t="s">
        <v>445</v>
      </c>
      <c r="D241">
        <v>305</v>
      </c>
      <c r="E241">
        <v>8</v>
      </c>
      <c r="F241" t="s">
        <v>440</v>
      </c>
      <c r="G241" t="s">
        <v>235</v>
      </c>
      <c r="J241" s="3" t="s">
        <v>865</v>
      </c>
      <c r="K241" s="3" t="s">
        <v>498</v>
      </c>
      <c r="L241" t="s">
        <v>866</v>
      </c>
    </row>
    <row r="242" spans="1:12" x14ac:dyDescent="0.3">
      <c r="A242" t="s">
        <v>377</v>
      </c>
      <c r="D242">
        <v>1</v>
      </c>
      <c r="E242">
        <v>8</v>
      </c>
      <c r="F242" t="s">
        <v>177</v>
      </c>
      <c r="G242" t="s">
        <v>235</v>
      </c>
      <c r="H242" s="3"/>
      <c r="J242" s="3" t="s">
        <v>867</v>
      </c>
      <c r="K242" s="3" t="s">
        <v>498</v>
      </c>
      <c r="L242" t="s">
        <v>514</v>
      </c>
    </row>
    <row r="243" spans="1:12" x14ac:dyDescent="0.3">
      <c r="A243" s="5" t="s">
        <v>215</v>
      </c>
      <c r="D243" s="5">
        <v>341</v>
      </c>
      <c r="E243" s="5">
        <v>15</v>
      </c>
      <c r="F243" t="s">
        <v>212</v>
      </c>
      <c r="G243" t="s">
        <v>239</v>
      </c>
      <c r="J243" s="3" t="s">
        <v>868</v>
      </c>
      <c r="K243" s="3" t="s">
        <v>516</v>
      </c>
      <c r="L243" t="s">
        <v>869</v>
      </c>
    </row>
    <row r="244" spans="1:12" x14ac:dyDescent="0.3">
      <c r="A244" s="5" t="s">
        <v>368</v>
      </c>
      <c r="D244" s="5">
        <v>1</v>
      </c>
      <c r="E244" s="5">
        <v>8</v>
      </c>
      <c r="F244" t="s">
        <v>456</v>
      </c>
      <c r="G244" t="s">
        <v>235</v>
      </c>
      <c r="J244" s="3" t="s">
        <v>870</v>
      </c>
      <c r="K244" s="3" t="s">
        <v>498</v>
      </c>
      <c r="L244" t="s">
        <v>636</v>
      </c>
    </row>
    <row r="245" spans="1:12" x14ac:dyDescent="0.3">
      <c r="A245" s="5" t="s">
        <v>481</v>
      </c>
      <c r="D245" s="5">
        <v>88</v>
      </c>
      <c r="E245" s="5">
        <v>13</v>
      </c>
      <c r="F245" t="s">
        <v>479</v>
      </c>
      <c r="G245" t="s">
        <v>239</v>
      </c>
      <c r="J245" s="3" t="s">
        <v>871</v>
      </c>
      <c r="K245" s="3" t="s">
        <v>498</v>
      </c>
      <c r="L245" t="s">
        <v>872</v>
      </c>
    </row>
    <row r="246" spans="1:12" x14ac:dyDescent="0.3">
      <c r="A246" t="s">
        <v>431</v>
      </c>
      <c r="D246" s="4">
        <v>48</v>
      </c>
      <c r="E246">
        <v>49</v>
      </c>
      <c r="F246" t="s">
        <v>430</v>
      </c>
      <c r="G246" t="s">
        <v>239</v>
      </c>
      <c r="J246" s="3" t="s">
        <v>873</v>
      </c>
      <c r="K246" s="3" t="s">
        <v>498</v>
      </c>
      <c r="L246" t="s">
        <v>874</v>
      </c>
    </row>
    <row r="247" spans="1:12" x14ac:dyDescent="0.3">
      <c r="A247" s="5" t="s">
        <v>437</v>
      </c>
      <c r="D247" s="5">
        <v>393</v>
      </c>
      <c r="E247" s="5">
        <v>43</v>
      </c>
      <c r="F247" t="s">
        <v>430</v>
      </c>
      <c r="G247" t="s">
        <v>235</v>
      </c>
      <c r="J247" s="3" t="s">
        <v>875</v>
      </c>
      <c r="K247" s="3" t="s">
        <v>498</v>
      </c>
      <c r="L247" t="s">
        <v>876</v>
      </c>
    </row>
    <row r="248" spans="1:12" x14ac:dyDescent="0.3">
      <c r="A248" t="s">
        <v>2571</v>
      </c>
      <c r="D248">
        <v>474</v>
      </c>
      <c r="E248">
        <v>24</v>
      </c>
      <c r="F248" t="s">
        <v>2568</v>
      </c>
      <c r="G248" t="s">
        <v>239</v>
      </c>
      <c r="H248" s="3"/>
      <c r="J248" s="3" t="s">
        <v>877</v>
      </c>
      <c r="K248" s="3" t="s">
        <v>498</v>
      </c>
      <c r="L248" t="s">
        <v>878</v>
      </c>
    </row>
    <row r="249" spans="1:12" x14ac:dyDescent="0.3">
      <c r="A249" t="s">
        <v>475</v>
      </c>
      <c r="D249">
        <v>361</v>
      </c>
      <c r="E249">
        <v>36</v>
      </c>
      <c r="F249" t="s">
        <v>466</v>
      </c>
      <c r="G249" t="s">
        <v>235</v>
      </c>
      <c r="J249" s="3" t="s">
        <v>879</v>
      </c>
      <c r="K249" s="3" t="s">
        <v>498</v>
      </c>
      <c r="L249" t="s">
        <v>880</v>
      </c>
    </row>
    <row r="250" spans="1:12" x14ac:dyDescent="0.3">
      <c r="A250" t="s">
        <v>474</v>
      </c>
      <c r="D250">
        <v>321</v>
      </c>
      <c r="E250">
        <v>40</v>
      </c>
      <c r="F250" t="s">
        <v>466</v>
      </c>
      <c r="G250" t="s">
        <v>235</v>
      </c>
      <c r="J250" s="3" t="s">
        <v>881</v>
      </c>
      <c r="K250" s="3" t="s">
        <v>498</v>
      </c>
      <c r="L250" t="s">
        <v>882</v>
      </c>
    </row>
    <row r="251" spans="1:12" x14ac:dyDescent="0.3">
      <c r="A251" t="s">
        <v>2534</v>
      </c>
      <c r="D251">
        <v>728</v>
      </c>
      <c r="E251">
        <v>25</v>
      </c>
      <c r="F251" t="s">
        <v>421</v>
      </c>
      <c r="G251" t="s">
        <v>235</v>
      </c>
      <c r="J251" s="3" t="s">
        <v>883</v>
      </c>
      <c r="K251" s="3" t="s">
        <v>498</v>
      </c>
      <c r="L251" t="s">
        <v>884</v>
      </c>
    </row>
    <row r="252" spans="1:12" x14ac:dyDescent="0.3">
      <c r="A252" s="5" t="s">
        <v>332</v>
      </c>
      <c r="D252" s="5">
        <v>19</v>
      </c>
      <c r="E252" s="5">
        <v>158</v>
      </c>
      <c r="F252" t="s">
        <v>245</v>
      </c>
      <c r="G252" t="s">
        <v>235</v>
      </c>
      <c r="J252" s="3" t="s">
        <v>885</v>
      </c>
      <c r="K252" s="3" t="s">
        <v>498</v>
      </c>
      <c r="L252" t="s">
        <v>886</v>
      </c>
    </row>
    <row r="253" spans="1:12" x14ac:dyDescent="0.3">
      <c r="A253" s="5" t="s">
        <v>214</v>
      </c>
      <c r="D253" s="5">
        <v>220</v>
      </c>
      <c r="E253" s="5">
        <v>34</v>
      </c>
      <c r="F253" t="s">
        <v>212</v>
      </c>
      <c r="G253" t="s">
        <v>235</v>
      </c>
      <c r="J253" s="3" t="s">
        <v>887</v>
      </c>
      <c r="K253" s="3" t="s">
        <v>498</v>
      </c>
      <c r="L253" t="s">
        <v>888</v>
      </c>
    </row>
    <row r="254" spans="1:12" x14ac:dyDescent="0.3">
      <c r="A254" t="s">
        <v>435</v>
      </c>
      <c r="D254">
        <v>295</v>
      </c>
      <c r="E254">
        <v>87</v>
      </c>
      <c r="F254" t="s">
        <v>430</v>
      </c>
      <c r="G254" t="s">
        <v>239</v>
      </c>
      <c r="H254" s="3"/>
      <c r="J254" s="3" t="s">
        <v>889</v>
      </c>
      <c r="K254" s="3" t="s">
        <v>498</v>
      </c>
      <c r="L254" t="s">
        <v>890</v>
      </c>
    </row>
    <row r="255" spans="1:12" x14ac:dyDescent="0.3">
      <c r="A255" t="s">
        <v>435</v>
      </c>
      <c r="D255">
        <v>168</v>
      </c>
      <c r="E255">
        <v>128</v>
      </c>
      <c r="F255" t="s">
        <v>2568</v>
      </c>
      <c r="G255" t="s">
        <v>239</v>
      </c>
      <c r="J255" s="3" t="s">
        <v>891</v>
      </c>
      <c r="K255" s="3" t="s">
        <v>498</v>
      </c>
      <c r="L255" t="s">
        <v>638</v>
      </c>
    </row>
    <row r="256" spans="1:12" x14ac:dyDescent="0.3">
      <c r="A256" s="5" t="s">
        <v>457</v>
      </c>
      <c r="D256" s="5">
        <v>9</v>
      </c>
      <c r="E256" s="5">
        <v>4</v>
      </c>
      <c r="F256" t="s">
        <v>456</v>
      </c>
      <c r="G256" t="s">
        <v>235</v>
      </c>
      <c r="J256" s="3" t="s">
        <v>892</v>
      </c>
      <c r="K256" s="3" t="s">
        <v>498</v>
      </c>
      <c r="L256" t="s">
        <v>893</v>
      </c>
    </row>
    <row r="257" spans="1:12" x14ac:dyDescent="0.3">
      <c r="A257" t="s">
        <v>213</v>
      </c>
      <c r="D257">
        <v>67</v>
      </c>
      <c r="E257">
        <v>153</v>
      </c>
      <c r="F257" t="s">
        <v>212</v>
      </c>
      <c r="G257" t="s">
        <v>235</v>
      </c>
      <c r="J257" s="3" t="s">
        <v>894</v>
      </c>
      <c r="K257" s="3" t="s">
        <v>498</v>
      </c>
      <c r="L257" t="s">
        <v>895</v>
      </c>
    </row>
    <row r="258" spans="1:12" x14ac:dyDescent="0.3">
      <c r="A258" s="5" t="s">
        <v>460</v>
      </c>
      <c r="D258" s="5">
        <v>37</v>
      </c>
      <c r="E258" s="5">
        <v>14</v>
      </c>
      <c r="F258" t="s">
        <v>456</v>
      </c>
      <c r="G258" t="s">
        <v>235</v>
      </c>
      <c r="J258" s="3" t="s">
        <v>896</v>
      </c>
      <c r="K258" s="3" t="s">
        <v>498</v>
      </c>
      <c r="L258" t="s">
        <v>897</v>
      </c>
    </row>
    <row r="259" spans="1:12" x14ac:dyDescent="0.3">
      <c r="A259" t="s">
        <v>425</v>
      </c>
      <c r="D259">
        <v>514</v>
      </c>
      <c r="E259">
        <v>125</v>
      </c>
      <c r="F259" t="s">
        <v>421</v>
      </c>
      <c r="G259" t="s">
        <v>239</v>
      </c>
      <c r="J259" s="3" t="s">
        <v>898</v>
      </c>
      <c r="K259" s="3" t="s">
        <v>498</v>
      </c>
      <c r="L259" t="s">
        <v>899</v>
      </c>
    </row>
    <row r="260" spans="1:12" x14ac:dyDescent="0.3">
      <c r="A260" t="s">
        <v>2540</v>
      </c>
      <c r="D260">
        <v>568</v>
      </c>
      <c r="E260">
        <v>117</v>
      </c>
      <c r="F260" t="s">
        <v>2568</v>
      </c>
      <c r="G260" t="s">
        <v>239</v>
      </c>
      <c r="J260" s="3" t="s">
        <v>900</v>
      </c>
      <c r="K260" s="3" t="s">
        <v>498</v>
      </c>
      <c r="L260" t="s">
        <v>901</v>
      </c>
    </row>
    <row r="261" spans="1:12" x14ac:dyDescent="0.3">
      <c r="A261" s="5" t="s">
        <v>426</v>
      </c>
      <c r="D261" s="5">
        <v>639</v>
      </c>
      <c r="E261" s="5">
        <v>13</v>
      </c>
      <c r="F261" t="s">
        <v>421</v>
      </c>
      <c r="G261" t="s">
        <v>239</v>
      </c>
      <c r="J261" s="3" t="s">
        <v>902</v>
      </c>
      <c r="K261" s="3" t="s">
        <v>498</v>
      </c>
      <c r="L261" t="s">
        <v>903</v>
      </c>
    </row>
    <row r="262" spans="1:12" x14ac:dyDescent="0.3">
      <c r="A262" s="5" t="s">
        <v>424</v>
      </c>
      <c r="D262" s="5">
        <v>398</v>
      </c>
      <c r="E262" s="5">
        <v>116</v>
      </c>
      <c r="F262" t="s">
        <v>421</v>
      </c>
      <c r="G262" t="s">
        <v>239</v>
      </c>
      <c r="J262" s="3" t="s">
        <v>904</v>
      </c>
      <c r="K262" s="3" t="s">
        <v>498</v>
      </c>
      <c r="L262" t="s">
        <v>905</v>
      </c>
    </row>
    <row r="263" spans="1:12" x14ac:dyDescent="0.3">
      <c r="A263" t="s">
        <v>2572</v>
      </c>
      <c r="D263">
        <v>498</v>
      </c>
      <c r="E263">
        <v>70</v>
      </c>
      <c r="F263" t="s">
        <v>2568</v>
      </c>
      <c r="G263" t="s">
        <v>239</v>
      </c>
      <c r="J263" s="3" t="s">
        <v>906</v>
      </c>
      <c r="K263" s="3" t="s">
        <v>498</v>
      </c>
      <c r="L263" t="s">
        <v>907</v>
      </c>
    </row>
    <row r="264" spans="1:12" x14ac:dyDescent="0.3">
      <c r="A264" t="s">
        <v>2569</v>
      </c>
      <c r="D264">
        <v>132</v>
      </c>
      <c r="E264">
        <v>36</v>
      </c>
      <c r="F264" t="s">
        <v>2568</v>
      </c>
      <c r="G264" t="s">
        <v>235</v>
      </c>
      <c r="J264" s="3" t="s">
        <v>908</v>
      </c>
      <c r="K264" s="3" t="s">
        <v>498</v>
      </c>
      <c r="L264" t="s">
        <v>909</v>
      </c>
    </row>
    <row r="265" spans="1:12" x14ac:dyDescent="0.3">
      <c r="A265" s="5" t="s">
        <v>100</v>
      </c>
      <c r="D265" s="5">
        <v>177</v>
      </c>
      <c r="E265" s="5">
        <v>117</v>
      </c>
      <c r="F265" t="s">
        <v>245</v>
      </c>
      <c r="G265" t="s">
        <v>235</v>
      </c>
      <c r="J265" s="3" t="s">
        <v>910</v>
      </c>
      <c r="K265" s="3" t="s">
        <v>498</v>
      </c>
      <c r="L265" t="s">
        <v>911</v>
      </c>
    </row>
    <row r="266" spans="1:12" x14ac:dyDescent="0.3">
      <c r="A266" s="5" t="s">
        <v>100</v>
      </c>
      <c r="D266" s="5">
        <v>356</v>
      </c>
      <c r="E266" s="5">
        <v>79</v>
      </c>
      <c r="F266" t="s">
        <v>212</v>
      </c>
      <c r="G266" t="s">
        <v>235</v>
      </c>
      <c r="J266" s="3" t="s">
        <v>912</v>
      </c>
      <c r="K266" s="3" t="s">
        <v>498</v>
      </c>
      <c r="L266" t="s">
        <v>640</v>
      </c>
    </row>
    <row r="267" spans="1:12" x14ac:dyDescent="0.3">
      <c r="A267" s="5" t="s">
        <v>92</v>
      </c>
      <c r="D267" s="5">
        <v>2</v>
      </c>
      <c r="E267" s="5">
        <v>65</v>
      </c>
      <c r="F267" t="s">
        <v>212</v>
      </c>
      <c r="G267" t="s">
        <v>235</v>
      </c>
      <c r="J267" s="3" t="s">
        <v>913</v>
      </c>
      <c r="K267" s="3" t="s">
        <v>498</v>
      </c>
      <c r="L267" t="s">
        <v>914</v>
      </c>
    </row>
    <row r="268" spans="1:12" x14ac:dyDescent="0.3">
      <c r="A268" s="5" t="s">
        <v>434</v>
      </c>
      <c r="D268" s="5">
        <v>210</v>
      </c>
      <c r="E268" s="5">
        <v>85</v>
      </c>
      <c r="F268" t="s">
        <v>430</v>
      </c>
      <c r="G268" t="s">
        <v>235</v>
      </c>
      <c r="J268" s="3" t="s">
        <v>915</v>
      </c>
      <c r="K268" s="3" t="s">
        <v>498</v>
      </c>
      <c r="L268" t="s">
        <v>916</v>
      </c>
    </row>
    <row r="269" spans="1:12" x14ac:dyDescent="0.3">
      <c r="A269" t="s">
        <v>496</v>
      </c>
      <c r="D269">
        <v>1</v>
      </c>
      <c r="E269">
        <v>9</v>
      </c>
      <c r="F269" t="s">
        <v>221</v>
      </c>
      <c r="G269" t="s">
        <v>235</v>
      </c>
      <c r="J269" s="3" t="s">
        <v>917</v>
      </c>
      <c r="K269" s="3" t="s">
        <v>498</v>
      </c>
      <c r="L269" t="s">
        <v>918</v>
      </c>
    </row>
    <row r="270" spans="1:12" x14ac:dyDescent="0.3">
      <c r="A270" t="s">
        <v>122</v>
      </c>
      <c r="D270">
        <v>10</v>
      </c>
      <c r="E270">
        <v>11</v>
      </c>
      <c r="F270" t="s">
        <v>221</v>
      </c>
      <c r="G270" t="s">
        <v>235</v>
      </c>
      <c r="J270" s="3" t="s">
        <v>919</v>
      </c>
      <c r="K270" s="3" t="s">
        <v>498</v>
      </c>
      <c r="L270" t="s">
        <v>920</v>
      </c>
    </row>
    <row r="271" spans="1:12" x14ac:dyDescent="0.3">
      <c r="A271" t="s">
        <v>459</v>
      </c>
      <c r="D271">
        <v>24</v>
      </c>
      <c r="E271">
        <v>13</v>
      </c>
      <c r="F271" t="s">
        <v>456</v>
      </c>
      <c r="G271" t="s">
        <v>235</v>
      </c>
      <c r="J271" s="3" t="s">
        <v>921</v>
      </c>
      <c r="K271" s="3" t="s">
        <v>498</v>
      </c>
      <c r="L271" t="s">
        <v>922</v>
      </c>
    </row>
    <row r="272" spans="1:12" x14ac:dyDescent="0.3">
      <c r="A272" t="s">
        <v>422</v>
      </c>
      <c r="D272">
        <v>3</v>
      </c>
      <c r="E272">
        <v>371</v>
      </c>
      <c r="F272" t="s">
        <v>421</v>
      </c>
      <c r="G272" t="s">
        <v>235</v>
      </c>
      <c r="H272" s="3"/>
      <c r="J272" s="3" t="s">
        <v>923</v>
      </c>
      <c r="K272" s="3" t="s">
        <v>498</v>
      </c>
      <c r="L272" t="s">
        <v>924</v>
      </c>
    </row>
    <row r="273" spans="1:12" x14ac:dyDescent="0.3">
      <c r="A273" t="s">
        <v>443</v>
      </c>
      <c r="D273">
        <v>159</v>
      </c>
      <c r="E273">
        <v>72</v>
      </c>
      <c r="F273" t="s">
        <v>440</v>
      </c>
      <c r="G273" t="s">
        <v>239</v>
      </c>
      <c r="J273" s="3" t="s">
        <v>925</v>
      </c>
      <c r="K273" s="3" t="s">
        <v>498</v>
      </c>
      <c r="L273" t="s">
        <v>926</v>
      </c>
    </row>
    <row r="274" spans="1:12" x14ac:dyDescent="0.3">
      <c r="A274" s="5" t="s">
        <v>360</v>
      </c>
      <c r="D274" s="5">
        <v>231</v>
      </c>
      <c r="E274" s="5">
        <v>21</v>
      </c>
      <c r="F274" t="s">
        <v>440</v>
      </c>
      <c r="G274" t="s">
        <v>235</v>
      </c>
      <c r="J274" s="3" t="s">
        <v>927</v>
      </c>
      <c r="K274" s="3" t="s">
        <v>498</v>
      </c>
      <c r="L274" t="s">
        <v>928</v>
      </c>
    </row>
    <row r="275" spans="1:12" x14ac:dyDescent="0.3">
      <c r="A275" s="5" t="s">
        <v>94</v>
      </c>
      <c r="D275" s="5">
        <v>254</v>
      </c>
      <c r="E275" s="5">
        <v>87</v>
      </c>
      <c r="F275" t="s">
        <v>212</v>
      </c>
      <c r="G275" t="s">
        <v>235</v>
      </c>
      <c r="I275" s="3"/>
      <c r="J275" s="3" t="s">
        <v>929</v>
      </c>
      <c r="K275" s="3" t="s">
        <v>498</v>
      </c>
      <c r="L275" t="s">
        <v>930</v>
      </c>
    </row>
    <row r="276" spans="1:12" x14ac:dyDescent="0.3">
      <c r="A276" s="5" t="s">
        <v>492</v>
      </c>
      <c r="D276" s="5">
        <v>320</v>
      </c>
      <c r="E276" s="5">
        <v>14</v>
      </c>
      <c r="F276" t="s">
        <v>245</v>
      </c>
      <c r="G276" t="s">
        <v>235</v>
      </c>
      <c r="I276" s="3"/>
      <c r="J276" s="3" t="s">
        <v>931</v>
      </c>
      <c r="K276" s="3" t="s">
        <v>498</v>
      </c>
      <c r="L276" t="s">
        <v>930</v>
      </c>
    </row>
    <row r="277" spans="1:12" x14ac:dyDescent="0.3">
      <c r="A277" t="s">
        <v>325</v>
      </c>
      <c r="D277">
        <v>1</v>
      </c>
      <c r="E277">
        <v>131</v>
      </c>
      <c r="F277" t="s">
        <v>2568</v>
      </c>
      <c r="G277" t="s">
        <v>235</v>
      </c>
      <c r="J277" s="3" t="s">
        <v>932</v>
      </c>
      <c r="K277" s="3" t="s">
        <v>498</v>
      </c>
      <c r="L277" t="s">
        <v>642</v>
      </c>
    </row>
    <row r="278" spans="1:12" x14ac:dyDescent="0.3">
      <c r="A278" t="s">
        <v>477</v>
      </c>
      <c r="D278">
        <v>485</v>
      </c>
      <c r="E278">
        <v>7</v>
      </c>
      <c r="F278" t="s">
        <v>466</v>
      </c>
      <c r="G278" t="s">
        <v>235</v>
      </c>
      <c r="J278" s="3" t="s">
        <v>933</v>
      </c>
      <c r="K278" s="3" t="s">
        <v>498</v>
      </c>
      <c r="L278" t="s">
        <v>930</v>
      </c>
    </row>
    <row r="279" spans="1:12" x14ac:dyDescent="0.3">
      <c r="A279" s="5" t="s">
        <v>458</v>
      </c>
      <c r="D279" s="5">
        <v>13</v>
      </c>
      <c r="E279" s="5">
        <v>11</v>
      </c>
      <c r="F279" t="s">
        <v>456</v>
      </c>
      <c r="G279" t="s">
        <v>235</v>
      </c>
      <c r="J279" s="3" t="s">
        <v>934</v>
      </c>
      <c r="K279" s="3" t="s">
        <v>498</v>
      </c>
      <c r="L279" t="s">
        <v>930</v>
      </c>
    </row>
    <row r="280" spans="1:12" x14ac:dyDescent="0.3">
      <c r="A280" s="5" t="s">
        <v>482</v>
      </c>
      <c r="D280" s="5">
        <v>101</v>
      </c>
      <c r="E280" s="5">
        <v>132</v>
      </c>
      <c r="F280" t="s">
        <v>479</v>
      </c>
      <c r="G280" t="s">
        <v>235</v>
      </c>
      <c r="I280" s="3"/>
      <c r="J280" s="3" t="s">
        <v>935</v>
      </c>
      <c r="K280" s="3" t="s">
        <v>498</v>
      </c>
      <c r="L280" t="s">
        <v>930</v>
      </c>
    </row>
    <row r="281" spans="1:12" x14ac:dyDescent="0.3">
      <c r="A281" s="5" t="s">
        <v>432</v>
      </c>
      <c r="D281" s="5">
        <v>97</v>
      </c>
      <c r="E281" s="5">
        <v>24</v>
      </c>
      <c r="F281" t="s">
        <v>430</v>
      </c>
      <c r="G281" t="s">
        <v>239</v>
      </c>
      <c r="I281" s="3"/>
      <c r="J281" s="3" t="s">
        <v>936</v>
      </c>
      <c r="K281" s="3" t="s">
        <v>498</v>
      </c>
      <c r="L281" t="s">
        <v>930</v>
      </c>
    </row>
    <row r="282" spans="1:12" x14ac:dyDescent="0.3">
      <c r="A282" s="5" t="s">
        <v>433</v>
      </c>
      <c r="D282" s="5">
        <v>121</v>
      </c>
      <c r="E282" s="5">
        <v>89</v>
      </c>
      <c r="F282" t="s">
        <v>430</v>
      </c>
      <c r="G282" t="s">
        <v>235</v>
      </c>
      <c r="I282" s="3"/>
      <c r="J282" s="3" t="s">
        <v>937</v>
      </c>
      <c r="K282" s="3" t="s">
        <v>498</v>
      </c>
      <c r="L282" t="s">
        <v>930</v>
      </c>
    </row>
    <row r="283" spans="1:12" x14ac:dyDescent="0.3">
      <c r="A283" s="5" t="s">
        <v>447</v>
      </c>
      <c r="D283" s="5">
        <v>346</v>
      </c>
      <c r="E283" s="5">
        <v>32</v>
      </c>
      <c r="F283" t="s">
        <v>440</v>
      </c>
      <c r="G283" t="s">
        <v>235</v>
      </c>
      <c r="I283" s="3"/>
      <c r="J283" s="3" t="s">
        <v>938</v>
      </c>
      <c r="K283" s="3" t="s">
        <v>498</v>
      </c>
      <c r="L283" t="s">
        <v>930</v>
      </c>
    </row>
    <row r="284" spans="1:12" x14ac:dyDescent="0.3">
      <c r="A284" s="5" t="s">
        <v>446</v>
      </c>
      <c r="D284" s="5">
        <v>313</v>
      </c>
      <c r="E284" s="5">
        <v>33</v>
      </c>
      <c r="F284" t="s">
        <v>440</v>
      </c>
      <c r="G284" t="s">
        <v>235</v>
      </c>
      <c r="I284" s="3"/>
      <c r="J284" s="3" t="s">
        <v>939</v>
      </c>
      <c r="K284" s="3" t="s">
        <v>498</v>
      </c>
      <c r="L284" t="s">
        <v>930</v>
      </c>
    </row>
    <row r="285" spans="1:12" x14ac:dyDescent="0.3">
      <c r="A285" t="s">
        <v>423</v>
      </c>
      <c r="D285">
        <v>374</v>
      </c>
      <c r="E285">
        <v>24</v>
      </c>
      <c r="F285" t="s">
        <v>421</v>
      </c>
      <c r="G285" t="s">
        <v>235</v>
      </c>
      <c r="I285" s="3"/>
      <c r="J285" s="3" t="s">
        <v>940</v>
      </c>
      <c r="K285" s="3" t="s">
        <v>498</v>
      </c>
      <c r="L285" t="s">
        <v>930</v>
      </c>
    </row>
    <row r="286" spans="1:12" x14ac:dyDescent="0.3">
      <c r="A286" t="s">
        <v>439</v>
      </c>
      <c r="D286">
        <v>13</v>
      </c>
      <c r="E286">
        <v>37</v>
      </c>
      <c r="F286" t="s">
        <v>440</v>
      </c>
      <c r="G286" t="s">
        <v>235</v>
      </c>
      <c r="I286" s="3"/>
      <c r="J286" s="3" t="s">
        <v>941</v>
      </c>
      <c r="K286" s="3" t="s">
        <v>498</v>
      </c>
      <c r="L286" t="s">
        <v>942</v>
      </c>
    </row>
    <row r="287" spans="1:12" x14ac:dyDescent="0.3">
      <c r="A287" t="s">
        <v>451</v>
      </c>
      <c r="D287">
        <v>498</v>
      </c>
      <c r="E287">
        <v>57</v>
      </c>
      <c r="F287" t="s">
        <v>440</v>
      </c>
      <c r="G287" t="s">
        <v>235</v>
      </c>
      <c r="I287" s="3"/>
      <c r="J287" s="3" t="s">
        <v>943</v>
      </c>
      <c r="K287" s="3" t="s">
        <v>498</v>
      </c>
      <c r="L287" t="s">
        <v>944</v>
      </c>
    </row>
    <row r="288" spans="1:12" x14ac:dyDescent="0.3">
      <c r="A288" s="5" t="s">
        <v>454</v>
      </c>
      <c r="D288" s="5">
        <v>5</v>
      </c>
      <c r="E288" s="5">
        <v>5</v>
      </c>
      <c r="F288" t="s">
        <v>453</v>
      </c>
      <c r="G288" t="s">
        <v>235</v>
      </c>
      <c r="J288" s="3" t="s">
        <v>945</v>
      </c>
      <c r="K288" s="3" t="s">
        <v>498</v>
      </c>
      <c r="L288" t="s">
        <v>625</v>
      </c>
    </row>
    <row r="289" spans="1:12" x14ac:dyDescent="0.3">
      <c r="A289" t="s">
        <v>452</v>
      </c>
      <c r="D289">
        <v>1</v>
      </c>
      <c r="E289">
        <v>4</v>
      </c>
      <c r="F289" t="s">
        <v>453</v>
      </c>
      <c r="G289" t="s">
        <v>235</v>
      </c>
      <c r="J289" s="3" t="s">
        <v>946</v>
      </c>
      <c r="K289" s="3" t="s">
        <v>498</v>
      </c>
      <c r="L289" t="s">
        <v>947</v>
      </c>
    </row>
    <row r="290" spans="1:12" x14ac:dyDescent="0.3">
      <c r="A290" t="s">
        <v>330</v>
      </c>
      <c r="D290">
        <v>68</v>
      </c>
      <c r="E290">
        <v>13</v>
      </c>
      <c r="F290" t="s">
        <v>456</v>
      </c>
      <c r="G290" t="s">
        <v>235</v>
      </c>
      <c r="I290" s="3"/>
      <c r="J290" s="3" t="s">
        <v>948</v>
      </c>
      <c r="K290" s="3" t="s">
        <v>498</v>
      </c>
      <c r="L290" t="s">
        <v>949</v>
      </c>
    </row>
    <row r="291" spans="1:12" x14ac:dyDescent="0.3">
      <c r="A291" t="s">
        <v>450</v>
      </c>
      <c r="D291">
        <v>487</v>
      </c>
      <c r="E291">
        <v>11</v>
      </c>
      <c r="F291" t="s">
        <v>440</v>
      </c>
      <c r="G291" t="s">
        <v>235</v>
      </c>
      <c r="J291" s="3" t="s">
        <v>950</v>
      </c>
      <c r="K291" s="3" t="s">
        <v>498</v>
      </c>
      <c r="L291" t="s">
        <v>951</v>
      </c>
    </row>
    <row r="292" spans="1:12" x14ac:dyDescent="0.3">
      <c r="A292" t="s">
        <v>427</v>
      </c>
      <c r="D292">
        <v>652</v>
      </c>
      <c r="E292">
        <v>63</v>
      </c>
      <c r="F292" t="s">
        <v>421</v>
      </c>
      <c r="G292" t="s">
        <v>235</v>
      </c>
      <c r="J292" s="3" t="s">
        <v>952</v>
      </c>
      <c r="K292" s="3" t="s">
        <v>498</v>
      </c>
      <c r="L292" t="s">
        <v>953</v>
      </c>
    </row>
    <row r="293" spans="1:12" x14ac:dyDescent="0.3">
      <c r="A293" s="5" t="s">
        <v>371</v>
      </c>
      <c r="D293" s="5">
        <v>6</v>
      </c>
      <c r="E293" s="5">
        <v>42</v>
      </c>
      <c r="F293" t="s">
        <v>430</v>
      </c>
      <c r="G293" t="s">
        <v>235</v>
      </c>
      <c r="I293" s="3"/>
      <c r="J293" s="3" t="s">
        <v>954</v>
      </c>
      <c r="K293" s="3" t="s">
        <v>498</v>
      </c>
      <c r="L293" t="s">
        <v>955</v>
      </c>
    </row>
    <row r="294" spans="1:12" x14ac:dyDescent="0.3">
      <c r="A294" t="s">
        <v>374</v>
      </c>
      <c r="D294">
        <v>1</v>
      </c>
      <c r="E294">
        <v>58</v>
      </c>
      <c r="F294" t="s">
        <v>479</v>
      </c>
      <c r="G294" t="s">
        <v>235</v>
      </c>
      <c r="H294" s="3"/>
      <c r="I294" s="3"/>
      <c r="J294" s="3" t="s">
        <v>956</v>
      </c>
      <c r="K294" s="3" t="s">
        <v>498</v>
      </c>
      <c r="L294" t="s">
        <v>957</v>
      </c>
    </row>
    <row r="295" spans="1:12" x14ac:dyDescent="0.3">
      <c r="A295" t="s">
        <v>328</v>
      </c>
      <c r="D295">
        <v>51</v>
      </c>
      <c r="E295">
        <v>17</v>
      </c>
      <c r="F295" t="s">
        <v>456</v>
      </c>
      <c r="G295" t="s">
        <v>235</v>
      </c>
      <c r="J295" s="3" t="s">
        <v>958</v>
      </c>
      <c r="K295" s="3" t="s">
        <v>498</v>
      </c>
      <c r="L295" t="s">
        <v>959</v>
      </c>
    </row>
    <row r="296" spans="1:12" x14ac:dyDescent="0.3">
      <c r="A296" s="5" t="s">
        <v>2570</v>
      </c>
      <c r="D296" s="5">
        <v>296</v>
      </c>
      <c r="E296" s="5">
        <v>178</v>
      </c>
      <c r="F296" t="s">
        <v>2568</v>
      </c>
      <c r="G296" t="s">
        <v>235</v>
      </c>
      <c r="J296" s="3" t="s">
        <v>960</v>
      </c>
      <c r="K296" s="3" t="s">
        <v>498</v>
      </c>
      <c r="L296" t="s">
        <v>961</v>
      </c>
    </row>
    <row r="297" spans="1:12" x14ac:dyDescent="0.3">
      <c r="A297" s="5" t="s">
        <v>428</v>
      </c>
      <c r="D297" s="5">
        <v>715</v>
      </c>
      <c r="E297" s="5">
        <v>13</v>
      </c>
      <c r="F297" t="s">
        <v>421</v>
      </c>
      <c r="G297" t="s">
        <v>235</v>
      </c>
      <c r="J297" s="3" t="s">
        <v>962</v>
      </c>
      <c r="K297" s="3" t="s">
        <v>498</v>
      </c>
      <c r="L297" t="s">
        <v>963</v>
      </c>
    </row>
    <row r="298" spans="1:12" x14ac:dyDescent="0.3">
      <c r="A298" s="5" t="s">
        <v>199</v>
      </c>
      <c r="D298" s="5">
        <v>4</v>
      </c>
      <c r="E298" s="5">
        <v>4</v>
      </c>
      <c r="F298" t="s">
        <v>463</v>
      </c>
      <c r="G298" t="s">
        <v>235</v>
      </c>
      <c r="I298" s="3"/>
      <c r="J298" s="3" t="s">
        <v>964</v>
      </c>
      <c r="K298" s="3" t="s">
        <v>498</v>
      </c>
      <c r="L298" t="s">
        <v>965</v>
      </c>
    </row>
    <row r="299" spans="1:12" x14ac:dyDescent="0.3">
      <c r="A299" t="s">
        <v>199</v>
      </c>
      <c r="D299">
        <v>401</v>
      </c>
      <c r="E299">
        <v>4</v>
      </c>
      <c r="F299" t="s">
        <v>466</v>
      </c>
      <c r="G299" t="s">
        <v>235</v>
      </c>
      <c r="I299" s="3"/>
      <c r="J299" s="3" t="s">
        <v>966</v>
      </c>
      <c r="K299" s="3" t="s">
        <v>498</v>
      </c>
      <c r="L299" t="s">
        <v>645</v>
      </c>
    </row>
    <row r="300" spans="1:12" x14ac:dyDescent="0.3">
      <c r="A300" s="5" t="s">
        <v>199</v>
      </c>
      <c r="D300" s="5">
        <v>14</v>
      </c>
      <c r="E300" s="5">
        <v>4</v>
      </c>
      <c r="F300" t="s">
        <v>485</v>
      </c>
      <c r="G300" t="s">
        <v>235</v>
      </c>
      <c r="J300" s="3" t="s">
        <v>967</v>
      </c>
      <c r="K300" s="3" t="s">
        <v>498</v>
      </c>
      <c r="L300" t="s">
        <v>968</v>
      </c>
    </row>
    <row r="301" spans="1:12" x14ac:dyDescent="0.3">
      <c r="A301" t="s">
        <v>199</v>
      </c>
      <c r="D301">
        <v>10</v>
      </c>
      <c r="E301">
        <v>4</v>
      </c>
      <c r="F301" t="s">
        <v>489</v>
      </c>
      <c r="G301" t="s">
        <v>235</v>
      </c>
      <c r="I301" s="3"/>
      <c r="J301" s="3" t="s">
        <v>969</v>
      </c>
      <c r="K301" s="3" t="s">
        <v>498</v>
      </c>
      <c r="L301" t="s">
        <v>970</v>
      </c>
    </row>
    <row r="302" spans="1:12" x14ac:dyDescent="0.3">
      <c r="A302" t="s">
        <v>200</v>
      </c>
      <c r="D302">
        <v>8</v>
      </c>
      <c r="E302">
        <v>28</v>
      </c>
      <c r="F302" t="s">
        <v>463</v>
      </c>
      <c r="G302" t="s">
        <v>235</v>
      </c>
      <c r="I302" s="3"/>
      <c r="J302" s="3" t="s">
        <v>971</v>
      </c>
      <c r="K302" s="3" t="s">
        <v>498</v>
      </c>
      <c r="L302" t="s">
        <v>972</v>
      </c>
    </row>
    <row r="303" spans="1:12" x14ac:dyDescent="0.3">
      <c r="A303" t="s">
        <v>200</v>
      </c>
      <c r="D303">
        <v>405</v>
      </c>
      <c r="E303">
        <v>80</v>
      </c>
      <c r="F303" t="s">
        <v>466</v>
      </c>
      <c r="G303" t="s">
        <v>235</v>
      </c>
      <c r="H303" s="3"/>
      <c r="I303" s="3"/>
      <c r="J303" s="3" t="s">
        <v>973</v>
      </c>
      <c r="K303" s="3" t="s">
        <v>498</v>
      </c>
      <c r="L303" t="s">
        <v>974</v>
      </c>
    </row>
    <row r="304" spans="1:12" x14ac:dyDescent="0.3">
      <c r="A304" t="s">
        <v>200</v>
      </c>
      <c r="D304">
        <v>18</v>
      </c>
      <c r="E304">
        <v>13</v>
      </c>
      <c r="F304" t="s">
        <v>485</v>
      </c>
      <c r="G304" t="s">
        <v>235</v>
      </c>
      <c r="I304" s="3"/>
      <c r="J304" s="3" t="s">
        <v>975</v>
      </c>
      <c r="K304" s="3" t="s">
        <v>498</v>
      </c>
      <c r="L304" t="s">
        <v>976</v>
      </c>
    </row>
    <row r="305" spans="1:12" x14ac:dyDescent="0.3">
      <c r="A305" t="s">
        <v>200</v>
      </c>
      <c r="D305">
        <v>14</v>
      </c>
      <c r="E305">
        <v>74</v>
      </c>
      <c r="F305" t="s">
        <v>489</v>
      </c>
      <c r="G305" t="s">
        <v>235</v>
      </c>
      <c r="I305" s="3"/>
      <c r="J305" s="3" t="s">
        <v>977</v>
      </c>
      <c r="K305" s="3" t="s">
        <v>498</v>
      </c>
      <c r="L305" t="s">
        <v>978</v>
      </c>
    </row>
    <row r="306" spans="1:12" x14ac:dyDescent="0.3">
      <c r="I306" s="3"/>
      <c r="J306" s="3" t="s">
        <v>979</v>
      </c>
      <c r="K306" s="3" t="s">
        <v>498</v>
      </c>
      <c r="L306" t="s">
        <v>980</v>
      </c>
    </row>
    <row r="307" spans="1:12" x14ac:dyDescent="0.3">
      <c r="A307" s="5"/>
      <c r="D307" s="5"/>
      <c r="E307" s="5"/>
      <c r="H307" s="3"/>
      <c r="J307" s="3" t="s">
        <v>981</v>
      </c>
      <c r="K307" s="3" t="s">
        <v>498</v>
      </c>
      <c r="L307" t="s">
        <v>982</v>
      </c>
    </row>
    <row r="308" spans="1:12" x14ac:dyDescent="0.3">
      <c r="A308" s="5"/>
      <c r="D308" s="5"/>
      <c r="E308" s="5"/>
      <c r="J308" s="3" t="s">
        <v>983</v>
      </c>
      <c r="K308" s="3" t="s">
        <v>498</v>
      </c>
      <c r="L308" t="s">
        <v>984</v>
      </c>
    </row>
    <row r="309" spans="1:12" x14ac:dyDescent="0.3">
      <c r="J309" s="3" t="s">
        <v>985</v>
      </c>
      <c r="K309" s="3" t="s">
        <v>498</v>
      </c>
      <c r="L309" t="s">
        <v>986</v>
      </c>
    </row>
    <row r="310" spans="1:12" x14ac:dyDescent="0.3">
      <c r="I310" s="3"/>
      <c r="J310" s="3" t="s">
        <v>987</v>
      </c>
      <c r="K310" s="3" t="s">
        <v>498</v>
      </c>
      <c r="L310" t="s">
        <v>647</v>
      </c>
    </row>
    <row r="311" spans="1:12" x14ac:dyDescent="0.3">
      <c r="A311" s="5"/>
      <c r="J311" s="3" t="s">
        <v>988</v>
      </c>
      <c r="K311" s="3" t="s">
        <v>498</v>
      </c>
      <c r="L311" t="s">
        <v>989</v>
      </c>
    </row>
    <row r="312" spans="1:12" x14ac:dyDescent="0.3">
      <c r="A312" s="5"/>
      <c r="B312" s="5"/>
      <c r="C312" s="5"/>
      <c r="D312" s="5"/>
      <c r="E312" s="5"/>
      <c r="F312" s="5"/>
      <c r="G312" s="5"/>
      <c r="I312" s="3"/>
      <c r="J312" s="3" t="s">
        <v>990</v>
      </c>
      <c r="K312" s="3" t="s">
        <v>498</v>
      </c>
      <c r="L312" t="s">
        <v>991</v>
      </c>
    </row>
    <row r="313" spans="1:12" x14ac:dyDescent="0.3">
      <c r="I313" s="3"/>
      <c r="J313" s="3" t="s">
        <v>992</v>
      </c>
      <c r="K313" s="3" t="s">
        <v>498</v>
      </c>
      <c r="L313" t="s">
        <v>993</v>
      </c>
    </row>
    <row r="314" spans="1:12" x14ac:dyDescent="0.3">
      <c r="I314" s="3"/>
      <c r="J314" s="3" t="s">
        <v>994</v>
      </c>
      <c r="K314" s="3" t="s">
        <v>498</v>
      </c>
      <c r="L314" t="s">
        <v>995</v>
      </c>
    </row>
    <row r="315" spans="1:12" x14ac:dyDescent="0.3">
      <c r="J315" s="3" t="s">
        <v>996</v>
      </c>
      <c r="K315" s="3" t="s">
        <v>498</v>
      </c>
      <c r="L315" t="s">
        <v>997</v>
      </c>
    </row>
    <row r="316" spans="1:12" x14ac:dyDescent="0.3">
      <c r="A316" s="5"/>
      <c r="I316" s="3"/>
      <c r="J316" s="3" t="s">
        <v>998</v>
      </c>
      <c r="K316" s="3" t="s">
        <v>498</v>
      </c>
      <c r="L316" t="s">
        <v>999</v>
      </c>
    </row>
    <row r="317" spans="1:12" x14ac:dyDescent="0.3">
      <c r="A317" s="5"/>
      <c r="B317" s="5"/>
      <c r="C317" s="5"/>
      <c r="D317" s="5"/>
      <c r="E317" s="5"/>
      <c r="F317" s="5"/>
      <c r="G317" s="5"/>
      <c r="H317" s="3"/>
      <c r="I317" s="3"/>
      <c r="J317" s="3" t="s">
        <v>1000</v>
      </c>
      <c r="K317" s="3" t="s">
        <v>498</v>
      </c>
      <c r="L317" t="s">
        <v>1001</v>
      </c>
    </row>
    <row r="318" spans="1:12" x14ac:dyDescent="0.3">
      <c r="I318" s="3"/>
      <c r="J318" s="3" t="s">
        <v>1002</v>
      </c>
      <c r="K318" s="3" t="s">
        <v>498</v>
      </c>
      <c r="L318" t="s">
        <v>1003</v>
      </c>
    </row>
    <row r="319" spans="1:12" x14ac:dyDescent="0.3">
      <c r="I319" s="3"/>
      <c r="J319" s="3" t="s">
        <v>1004</v>
      </c>
      <c r="K319" s="3" t="s">
        <v>498</v>
      </c>
      <c r="L319" t="s">
        <v>1005</v>
      </c>
    </row>
    <row r="320" spans="1:12" x14ac:dyDescent="0.3">
      <c r="A320" s="5"/>
      <c r="H320" s="3"/>
      <c r="I320" s="3"/>
      <c r="J320" s="3" t="s">
        <v>1006</v>
      </c>
      <c r="K320" s="3" t="s">
        <v>498</v>
      </c>
      <c r="L320" t="s">
        <v>1007</v>
      </c>
    </row>
    <row r="321" spans="1:12" x14ac:dyDescent="0.3">
      <c r="J321" s="3" t="s">
        <v>1008</v>
      </c>
      <c r="K321" s="3" t="s">
        <v>498</v>
      </c>
      <c r="L321" t="s">
        <v>524</v>
      </c>
    </row>
    <row r="322" spans="1:12" x14ac:dyDescent="0.3">
      <c r="A322" s="5"/>
      <c r="D322" s="5"/>
      <c r="E322" s="5"/>
      <c r="H322" s="3"/>
      <c r="J322" s="3" t="s">
        <v>1009</v>
      </c>
      <c r="K322" s="3" t="s">
        <v>498</v>
      </c>
      <c r="L322" t="s">
        <v>1010</v>
      </c>
    </row>
    <row r="323" spans="1:12" x14ac:dyDescent="0.3">
      <c r="J323" s="3" t="s">
        <v>1011</v>
      </c>
      <c r="K323" s="3" t="s">
        <v>498</v>
      </c>
      <c r="L323" t="s">
        <v>1012</v>
      </c>
    </row>
    <row r="324" spans="1:12" x14ac:dyDescent="0.3">
      <c r="J324" s="3" t="s">
        <v>1013</v>
      </c>
      <c r="K324" s="3" t="s">
        <v>498</v>
      </c>
      <c r="L324" t="s">
        <v>1014</v>
      </c>
    </row>
    <row r="325" spans="1:12" x14ac:dyDescent="0.3">
      <c r="J325" s="3" t="s">
        <v>1015</v>
      </c>
      <c r="K325" s="3" t="s">
        <v>498</v>
      </c>
      <c r="L325" t="s">
        <v>1016</v>
      </c>
    </row>
    <row r="326" spans="1:12" x14ac:dyDescent="0.3">
      <c r="J326" s="3" t="s">
        <v>1017</v>
      </c>
      <c r="K326" s="3" t="s">
        <v>498</v>
      </c>
      <c r="L326" t="s">
        <v>1018</v>
      </c>
    </row>
    <row r="327" spans="1:12" x14ac:dyDescent="0.3">
      <c r="J327" s="3" t="s">
        <v>1019</v>
      </c>
      <c r="K327" s="3" t="s">
        <v>498</v>
      </c>
      <c r="L327" t="s">
        <v>1020</v>
      </c>
    </row>
    <row r="328" spans="1:12" x14ac:dyDescent="0.3">
      <c r="J328" s="3" t="s">
        <v>1021</v>
      </c>
      <c r="K328" s="3" t="s">
        <v>498</v>
      </c>
      <c r="L328" t="s">
        <v>1022</v>
      </c>
    </row>
    <row r="329" spans="1:12" x14ac:dyDescent="0.3">
      <c r="J329" s="3" t="s">
        <v>1023</v>
      </c>
      <c r="K329" s="3" t="s">
        <v>498</v>
      </c>
      <c r="L329" t="s">
        <v>1024</v>
      </c>
    </row>
    <row r="330" spans="1:12" x14ac:dyDescent="0.3">
      <c r="J330" s="3" t="s">
        <v>1025</v>
      </c>
      <c r="K330" s="3" t="s">
        <v>498</v>
      </c>
      <c r="L330" t="s">
        <v>1026</v>
      </c>
    </row>
    <row r="331" spans="1:12" x14ac:dyDescent="0.3">
      <c r="J331" s="3" t="s">
        <v>1027</v>
      </c>
      <c r="K331" s="3" t="s">
        <v>498</v>
      </c>
      <c r="L331" t="s">
        <v>1028</v>
      </c>
    </row>
    <row r="332" spans="1:12" x14ac:dyDescent="0.3">
      <c r="J332" s="3" t="s">
        <v>1029</v>
      </c>
      <c r="K332" s="3" t="s">
        <v>498</v>
      </c>
      <c r="L332" t="s">
        <v>546</v>
      </c>
    </row>
    <row r="333" spans="1:12" x14ac:dyDescent="0.3">
      <c r="J333" s="3" t="s">
        <v>1030</v>
      </c>
      <c r="K333" s="3" t="s">
        <v>498</v>
      </c>
      <c r="L333" t="s">
        <v>1031</v>
      </c>
    </row>
    <row r="334" spans="1:12" x14ac:dyDescent="0.3">
      <c r="J334" s="3" t="s">
        <v>1032</v>
      </c>
      <c r="K334" s="3" t="s">
        <v>498</v>
      </c>
      <c r="L334" t="s">
        <v>1033</v>
      </c>
    </row>
    <row r="335" spans="1:12" x14ac:dyDescent="0.3">
      <c r="J335" s="3" t="s">
        <v>1034</v>
      </c>
      <c r="K335" s="3" t="s">
        <v>498</v>
      </c>
      <c r="L335" t="s">
        <v>1035</v>
      </c>
    </row>
    <row r="336" spans="1:12" x14ac:dyDescent="0.3">
      <c r="J336" s="3" t="s">
        <v>1036</v>
      </c>
      <c r="K336" s="3" t="s">
        <v>498</v>
      </c>
      <c r="L336" t="s">
        <v>1037</v>
      </c>
    </row>
    <row r="337" spans="8:12" x14ac:dyDescent="0.3">
      <c r="J337" s="3" t="s">
        <v>1038</v>
      </c>
      <c r="K337" s="3" t="s">
        <v>498</v>
      </c>
      <c r="L337" t="s">
        <v>1039</v>
      </c>
    </row>
    <row r="338" spans="8:12" x14ac:dyDescent="0.3">
      <c r="H338" s="3"/>
      <c r="J338" s="3" t="s">
        <v>1040</v>
      </c>
      <c r="K338" s="3" t="s">
        <v>498</v>
      </c>
      <c r="L338" t="s">
        <v>1041</v>
      </c>
    </row>
    <row r="339" spans="8:12" x14ac:dyDescent="0.3">
      <c r="J339" s="3" t="s">
        <v>1042</v>
      </c>
      <c r="K339" s="3" t="s">
        <v>498</v>
      </c>
      <c r="L339" t="s">
        <v>1043</v>
      </c>
    </row>
    <row r="340" spans="8:12" x14ac:dyDescent="0.3">
      <c r="J340" s="3" t="s">
        <v>1044</v>
      </c>
      <c r="K340" s="3" t="s">
        <v>498</v>
      </c>
      <c r="L340" t="s">
        <v>1045</v>
      </c>
    </row>
    <row r="341" spans="8:12" x14ac:dyDescent="0.3">
      <c r="J341" s="3" t="s">
        <v>1046</v>
      </c>
      <c r="K341" s="3" t="s">
        <v>498</v>
      </c>
      <c r="L341" t="s">
        <v>1047</v>
      </c>
    </row>
    <row r="342" spans="8:12" x14ac:dyDescent="0.3">
      <c r="J342" s="3" t="s">
        <v>1048</v>
      </c>
      <c r="K342" s="3" t="s">
        <v>498</v>
      </c>
      <c r="L342" t="s">
        <v>1049</v>
      </c>
    </row>
    <row r="343" spans="8:12" x14ac:dyDescent="0.3">
      <c r="J343" s="3" t="s">
        <v>1050</v>
      </c>
      <c r="K343" s="3" t="s">
        <v>498</v>
      </c>
      <c r="L343" t="s">
        <v>568</v>
      </c>
    </row>
    <row r="344" spans="8:12" x14ac:dyDescent="0.3">
      <c r="J344" s="3" t="s">
        <v>1051</v>
      </c>
      <c r="K344" s="3" t="s">
        <v>498</v>
      </c>
      <c r="L344" t="s">
        <v>1052</v>
      </c>
    </row>
    <row r="345" spans="8:12" x14ac:dyDescent="0.3">
      <c r="J345" s="3" t="s">
        <v>1053</v>
      </c>
      <c r="K345" s="3" t="s">
        <v>498</v>
      </c>
      <c r="L345" t="s">
        <v>1054</v>
      </c>
    </row>
    <row r="346" spans="8:12" x14ac:dyDescent="0.3">
      <c r="H346" s="3"/>
      <c r="J346" s="3" t="s">
        <v>1055</v>
      </c>
      <c r="K346" s="3" t="s">
        <v>498</v>
      </c>
      <c r="L346" t="s">
        <v>1056</v>
      </c>
    </row>
    <row r="347" spans="8:12" x14ac:dyDescent="0.3">
      <c r="J347" s="3" t="s">
        <v>1057</v>
      </c>
      <c r="K347" s="3" t="s">
        <v>498</v>
      </c>
      <c r="L347" t="s">
        <v>1056</v>
      </c>
    </row>
    <row r="348" spans="8:12" x14ac:dyDescent="0.3">
      <c r="J348" s="3" t="s">
        <v>1058</v>
      </c>
      <c r="K348" s="3" t="s">
        <v>498</v>
      </c>
      <c r="L348" t="s">
        <v>1056</v>
      </c>
    </row>
    <row r="349" spans="8:12" x14ac:dyDescent="0.3">
      <c r="J349" s="3" t="s">
        <v>1059</v>
      </c>
      <c r="K349" s="3" t="s">
        <v>498</v>
      </c>
      <c r="L349" t="s">
        <v>1056</v>
      </c>
    </row>
    <row r="350" spans="8:12" x14ac:dyDescent="0.3">
      <c r="J350" s="3" t="s">
        <v>1060</v>
      </c>
      <c r="K350" s="3" t="s">
        <v>498</v>
      </c>
      <c r="L350" t="s">
        <v>1056</v>
      </c>
    </row>
    <row r="351" spans="8:12" x14ac:dyDescent="0.3">
      <c r="J351" s="3" t="s">
        <v>1061</v>
      </c>
      <c r="K351" s="3" t="s">
        <v>498</v>
      </c>
      <c r="L351" t="s">
        <v>1056</v>
      </c>
    </row>
    <row r="352" spans="8:12" x14ac:dyDescent="0.3">
      <c r="J352" s="3" t="s">
        <v>1062</v>
      </c>
      <c r="K352" s="3" t="s">
        <v>498</v>
      </c>
      <c r="L352" t="s">
        <v>1063</v>
      </c>
    </row>
    <row r="353" spans="10:12" x14ac:dyDescent="0.3">
      <c r="J353" s="3" t="s">
        <v>1064</v>
      </c>
      <c r="K353" s="3" t="s">
        <v>498</v>
      </c>
      <c r="L353" t="s">
        <v>590</v>
      </c>
    </row>
    <row r="354" spans="10:12" x14ac:dyDescent="0.3">
      <c r="J354" s="3" t="s">
        <v>1065</v>
      </c>
      <c r="K354" s="3" t="s">
        <v>498</v>
      </c>
      <c r="L354" t="s">
        <v>1056</v>
      </c>
    </row>
    <row r="355" spans="10:12" x14ac:dyDescent="0.3">
      <c r="J355" s="3" t="s">
        <v>1066</v>
      </c>
      <c r="K355" s="3" t="s">
        <v>498</v>
      </c>
      <c r="L355" t="s">
        <v>1056</v>
      </c>
    </row>
    <row r="356" spans="10:12" x14ac:dyDescent="0.3">
      <c r="J356" s="3" t="s">
        <v>1067</v>
      </c>
      <c r="K356" s="3" t="s">
        <v>498</v>
      </c>
      <c r="L356" t="s">
        <v>1056</v>
      </c>
    </row>
    <row r="357" spans="10:12" x14ac:dyDescent="0.3">
      <c r="J357" s="3" t="s">
        <v>1068</v>
      </c>
      <c r="K357" s="3" t="s">
        <v>498</v>
      </c>
      <c r="L357" t="s">
        <v>1056</v>
      </c>
    </row>
    <row r="358" spans="10:12" x14ac:dyDescent="0.3">
      <c r="J358" s="3" t="s">
        <v>1069</v>
      </c>
      <c r="K358" s="3" t="s">
        <v>498</v>
      </c>
      <c r="L358" t="s">
        <v>1056</v>
      </c>
    </row>
    <row r="359" spans="10:12" x14ac:dyDescent="0.3">
      <c r="J359" s="3" t="s">
        <v>1070</v>
      </c>
      <c r="K359" s="3" t="s">
        <v>498</v>
      </c>
      <c r="L359" t="s">
        <v>1056</v>
      </c>
    </row>
    <row r="360" spans="10:12" x14ac:dyDescent="0.3">
      <c r="J360" s="3" t="s">
        <v>1071</v>
      </c>
      <c r="K360" s="3" t="s">
        <v>498</v>
      </c>
      <c r="L360" t="s">
        <v>1056</v>
      </c>
    </row>
    <row r="361" spans="10:12" x14ac:dyDescent="0.3">
      <c r="J361" s="3" t="s">
        <v>1072</v>
      </c>
      <c r="K361" s="3" t="s">
        <v>498</v>
      </c>
      <c r="L361" t="s">
        <v>1056</v>
      </c>
    </row>
    <row r="362" spans="10:12" x14ac:dyDescent="0.3">
      <c r="J362" s="3" t="s">
        <v>1073</v>
      </c>
      <c r="K362" s="3" t="s">
        <v>498</v>
      </c>
      <c r="L362" t="s">
        <v>1056</v>
      </c>
    </row>
    <row r="363" spans="10:12" x14ac:dyDescent="0.3">
      <c r="J363" s="3" t="s">
        <v>1074</v>
      </c>
      <c r="K363" s="3" t="s">
        <v>498</v>
      </c>
      <c r="L363" t="s">
        <v>611</v>
      </c>
    </row>
    <row r="364" spans="10:12" x14ac:dyDescent="0.3">
      <c r="J364" s="3" t="s">
        <v>1075</v>
      </c>
      <c r="K364" s="3" t="s">
        <v>498</v>
      </c>
      <c r="L364" t="s">
        <v>1056</v>
      </c>
    </row>
    <row r="365" spans="10:12" x14ac:dyDescent="0.3">
      <c r="J365" s="3" t="s">
        <v>1076</v>
      </c>
      <c r="K365" s="3" t="s">
        <v>498</v>
      </c>
      <c r="L365" t="s">
        <v>1056</v>
      </c>
    </row>
    <row r="366" spans="10:12" x14ac:dyDescent="0.3">
      <c r="J366" s="3" t="s">
        <v>1077</v>
      </c>
      <c r="K366" s="3" t="s">
        <v>498</v>
      </c>
      <c r="L366" t="s">
        <v>1056</v>
      </c>
    </row>
    <row r="367" spans="10:12" x14ac:dyDescent="0.3">
      <c r="J367" s="3" t="s">
        <v>1078</v>
      </c>
      <c r="K367" s="3" t="s">
        <v>498</v>
      </c>
      <c r="L367" t="s">
        <v>1056</v>
      </c>
    </row>
    <row r="368" spans="10:12" x14ac:dyDescent="0.3">
      <c r="J368" s="3" t="s">
        <v>1079</v>
      </c>
      <c r="K368" s="3" t="s">
        <v>498</v>
      </c>
      <c r="L368" t="s">
        <v>1056</v>
      </c>
    </row>
    <row r="369" spans="10:12" x14ac:dyDescent="0.3">
      <c r="J369" s="3" t="s">
        <v>1080</v>
      </c>
      <c r="K369" s="3" t="s">
        <v>498</v>
      </c>
      <c r="L369" t="s">
        <v>1056</v>
      </c>
    </row>
    <row r="370" spans="10:12" x14ac:dyDescent="0.3">
      <c r="J370" s="3" t="s">
        <v>1081</v>
      </c>
      <c r="K370" s="3" t="s">
        <v>498</v>
      </c>
      <c r="L370" t="s">
        <v>1056</v>
      </c>
    </row>
    <row r="371" spans="10:12" x14ac:dyDescent="0.3">
      <c r="J371" s="3" t="s">
        <v>1082</v>
      </c>
      <c r="K371" s="3" t="s">
        <v>498</v>
      </c>
      <c r="L371" t="s">
        <v>1056</v>
      </c>
    </row>
    <row r="372" spans="10:12" x14ac:dyDescent="0.3">
      <c r="J372" s="3" t="s">
        <v>1083</v>
      </c>
      <c r="K372" s="3" t="s">
        <v>498</v>
      </c>
      <c r="L372" t="s">
        <v>1056</v>
      </c>
    </row>
    <row r="373" spans="10:12" x14ac:dyDescent="0.3">
      <c r="J373" s="3" t="s">
        <v>1084</v>
      </c>
      <c r="K373" s="3" t="s">
        <v>498</v>
      </c>
      <c r="L373" t="s">
        <v>1056</v>
      </c>
    </row>
    <row r="374" spans="10:12" x14ac:dyDescent="0.3">
      <c r="J374" s="3" t="s">
        <v>1085</v>
      </c>
      <c r="K374" s="3" t="s">
        <v>498</v>
      </c>
      <c r="L374" t="s">
        <v>616</v>
      </c>
    </row>
    <row r="375" spans="10:12" x14ac:dyDescent="0.3">
      <c r="J375" s="3" t="s">
        <v>1086</v>
      </c>
      <c r="K375" s="3" t="s">
        <v>498</v>
      </c>
      <c r="L375" t="s">
        <v>1056</v>
      </c>
    </row>
    <row r="376" spans="10:12" x14ac:dyDescent="0.3">
      <c r="J376" s="3" t="s">
        <v>1087</v>
      </c>
      <c r="K376" s="3" t="s">
        <v>498</v>
      </c>
      <c r="L376" t="s">
        <v>1056</v>
      </c>
    </row>
    <row r="377" spans="10:12" x14ac:dyDescent="0.3">
      <c r="J377" s="3" t="s">
        <v>1088</v>
      </c>
      <c r="K377" s="3" t="s">
        <v>498</v>
      </c>
      <c r="L377" t="s">
        <v>1056</v>
      </c>
    </row>
    <row r="378" spans="10:12" x14ac:dyDescent="0.3">
      <c r="J378" s="3" t="s">
        <v>1089</v>
      </c>
      <c r="K378" s="3" t="s">
        <v>498</v>
      </c>
      <c r="L378" t="s">
        <v>1056</v>
      </c>
    </row>
    <row r="379" spans="10:12" x14ac:dyDescent="0.3">
      <c r="J379" s="3" t="s">
        <v>1090</v>
      </c>
      <c r="K379" s="3" t="s">
        <v>498</v>
      </c>
      <c r="L379" t="s">
        <v>1056</v>
      </c>
    </row>
    <row r="380" spans="10:12" x14ac:dyDescent="0.3">
      <c r="J380" s="3" t="s">
        <v>1091</v>
      </c>
      <c r="K380" s="3" t="s">
        <v>498</v>
      </c>
      <c r="L380" t="s">
        <v>1056</v>
      </c>
    </row>
    <row r="381" spans="10:12" x14ac:dyDescent="0.3">
      <c r="J381" s="3" t="s">
        <v>1092</v>
      </c>
      <c r="K381" s="3" t="s">
        <v>498</v>
      </c>
      <c r="L381" t="s">
        <v>1056</v>
      </c>
    </row>
    <row r="382" spans="10:12" x14ac:dyDescent="0.3">
      <c r="J382" s="3" t="s">
        <v>1093</v>
      </c>
      <c r="K382" s="3" t="s">
        <v>498</v>
      </c>
      <c r="L382" t="s">
        <v>1056</v>
      </c>
    </row>
    <row r="383" spans="10:12" x14ac:dyDescent="0.3">
      <c r="J383" s="3" t="s">
        <v>1094</v>
      </c>
      <c r="K383" s="3" t="s">
        <v>498</v>
      </c>
      <c r="L383" t="s">
        <v>1056</v>
      </c>
    </row>
    <row r="384" spans="10:12" x14ac:dyDescent="0.3">
      <c r="J384" s="3" t="s">
        <v>1095</v>
      </c>
      <c r="K384" s="3" t="s">
        <v>498</v>
      </c>
      <c r="L384" t="s">
        <v>1056</v>
      </c>
    </row>
    <row r="385" spans="9:12" x14ac:dyDescent="0.3">
      <c r="J385" s="3" t="s">
        <v>1096</v>
      </c>
      <c r="K385" s="3" t="s">
        <v>498</v>
      </c>
      <c r="L385" t="s">
        <v>618</v>
      </c>
    </row>
    <row r="386" spans="9:12" x14ac:dyDescent="0.3">
      <c r="J386" s="3" t="s">
        <v>1097</v>
      </c>
      <c r="K386" s="3" t="s">
        <v>498</v>
      </c>
      <c r="L386" t="s">
        <v>1056</v>
      </c>
    </row>
    <row r="387" spans="9:12" x14ac:dyDescent="0.3">
      <c r="J387" s="3" t="s">
        <v>1098</v>
      </c>
      <c r="K387" s="3" t="s">
        <v>498</v>
      </c>
      <c r="L387" t="s">
        <v>1056</v>
      </c>
    </row>
    <row r="388" spans="9:12" x14ac:dyDescent="0.3">
      <c r="J388" s="3" t="s">
        <v>1099</v>
      </c>
      <c r="K388" s="3" t="s">
        <v>498</v>
      </c>
      <c r="L388" t="s">
        <v>1100</v>
      </c>
    </row>
    <row r="389" spans="9:12" x14ac:dyDescent="0.3">
      <c r="J389" s="3" t="s">
        <v>1101</v>
      </c>
      <c r="K389" s="3" t="s">
        <v>498</v>
      </c>
      <c r="L389" t="s">
        <v>1102</v>
      </c>
    </row>
    <row r="390" spans="9:12" x14ac:dyDescent="0.3">
      <c r="J390" s="3" t="s">
        <v>1103</v>
      </c>
      <c r="K390" s="3" t="s">
        <v>498</v>
      </c>
      <c r="L390" t="s">
        <v>1104</v>
      </c>
    </row>
    <row r="391" spans="9:12" x14ac:dyDescent="0.3">
      <c r="J391" s="3" t="s">
        <v>1105</v>
      </c>
      <c r="K391" s="3" t="s">
        <v>498</v>
      </c>
      <c r="L391" t="s">
        <v>1106</v>
      </c>
    </row>
    <row r="392" spans="9:12" x14ac:dyDescent="0.3">
      <c r="J392" s="3" t="s">
        <v>1107</v>
      </c>
      <c r="K392" s="3" t="s">
        <v>498</v>
      </c>
      <c r="L392" t="s">
        <v>1108</v>
      </c>
    </row>
    <row r="393" spans="9:12" x14ac:dyDescent="0.3">
      <c r="J393" s="3" t="s">
        <v>1109</v>
      </c>
      <c r="K393" s="3" t="s">
        <v>498</v>
      </c>
      <c r="L393" t="s">
        <v>1110</v>
      </c>
    </row>
    <row r="394" spans="9:12" x14ac:dyDescent="0.3">
      <c r="J394" s="3" t="s">
        <v>1111</v>
      </c>
      <c r="K394" s="3" t="s">
        <v>498</v>
      </c>
      <c r="L394" t="s">
        <v>1112</v>
      </c>
    </row>
    <row r="395" spans="9:12" x14ac:dyDescent="0.3">
      <c r="I395" s="3"/>
      <c r="J395" s="3" t="s">
        <v>1113</v>
      </c>
      <c r="K395" s="3" t="s">
        <v>498</v>
      </c>
      <c r="L395" t="s">
        <v>1114</v>
      </c>
    </row>
    <row r="396" spans="9:12" x14ac:dyDescent="0.3">
      <c r="I396" s="3"/>
      <c r="J396" s="3" t="s">
        <v>1115</v>
      </c>
      <c r="K396" s="3" t="s">
        <v>498</v>
      </c>
      <c r="L396" t="s">
        <v>620</v>
      </c>
    </row>
    <row r="397" spans="9:12" x14ac:dyDescent="0.3">
      <c r="J397" s="3" t="s">
        <v>1116</v>
      </c>
      <c r="K397" s="3" t="s">
        <v>498</v>
      </c>
      <c r="L397" t="s">
        <v>1117</v>
      </c>
    </row>
    <row r="398" spans="9:12" x14ac:dyDescent="0.3">
      <c r="J398" s="3" t="s">
        <v>1118</v>
      </c>
      <c r="K398" s="3" t="s">
        <v>498</v>
      </c>
      <c r="L398" t="s">
        <v>1119</v>
      </c>
    </row>
    <row r="399" spans="9:12" x14ac:dyDescent="0.3">
      <c r="J399" s="3" t="s">
        <v>1120</v>
      </c>
      <c r="K399" s="3" t="s">
        <v>498</v>
      </c>
      <c r="L399" t="s">
        <v>1121</v>
      </c>
    </row>
    <row r="400" spans="9:12" x14ac:dyDescent="0.3">
      <c r="I400" s="3"/>
      <c r="J400" s="3" t="s">
        <v>1122</v>
      </c>
      <c r="K400" s="3" t="s">
        <v>498</v>
      </c>
      <c r="L400" t="s">
        <v>1123</v>
      </c>
    </row>
    <row r="401" spans="8:12" x14ac:dyDescent="0.3">
      <c r="I401" s="3"/>
      <c r="J401" s="3" t="s">
        <v>1124</v>
      </c>
      <c r="K401" s="3" t="s">
        <v>498</v>
      </c>
      <c r="L401" t="s">
        <v>1125</v>
      </c>
    </row>
    <row r="402" spans="8:12" x14ac:dyDescent="0.3">
      <c r="J402" s="3" t="s">
        <v>1126</v>
      </c>
      <c r="K402" s="3" t="s">
        <v>498</v>
      </c>
      <c r="L402" t="s">
        <v>1127</v>
      </c>
    </row>
    <row r="403" spans="8:12" x14ac:dyDescent="0.3">
      <c r="I403" s="3"/>
      <c r="J403" s="3" t="s">
        <v>1128</v>
      </c>
      <c r="K403" s="3" t="s">
        <v>498</v>
      </c>
      <c r="L403" t="s">
        <v>1129</v>
      </c>
    </row>
    <row r="404" spans="8:12" x14ac:dyDescent="0.3">
      <c r="I404" s="3"/>
      <c r="J404" s="3" t="s">
        <v>1130</v>
      </c>
      <c r="K404" s="3" t="s">
        <v>498</v>
      </c>
      <c r="L404" t="s">
        <v>1131</v>
      </c>
    </row>
    <row r="405" spans="8:12" x14ac:dyDescent="0.3">
      <c r="I405" s="3"/>
      <c r="J405" s="3" t="s">
        <v>1132</v>
      </c>
      <c r="K405" s="3" t="s">
        <v>498</v>
      </c>
      <c r="L405" t="s">
        <v>1133</v>
      </c>
    </row>
    <row r="406" spans="8:12" x14ac:dyDescent="0.3">
      <c r="I406" s="3"/>
      <c r="J406" s="3" t="s">
        <v>1134</v>
      </c>
      <c r="K406" s="3" t="s">
        <v>498</v>
      </c>
      <c r="L406" t="s">
        <v>1135</v>
      </c>
    </row>
    <row r="407" spans="8:12" x14ac:dyDescent="0.3">
      <c r="I407" s="3"/>
      <c r="J407" s="3" t="s">
        <v>1136</v>
      </c>
      <c r="K407" s="3" t="s">
        <v>498</v>
      </c>
      <c r="L407" t="s">
        <v>622</v>
      </c>
    </row>
    <row r="408" spans="8:12" x14ac:dyDescent="0.3">
      <c r="I408" s="3"/>
      <c r="J408" s="3" t="s">
        <v>1137</v>
      </c>
      <c r="K408" s="3" t="s">
        <v>498</v>
      </c>
      <c r="L408" t="s">
        <v>1138</v>
      </c>
    </row>
    <row r="409" spans="8:12" x14ac:dyDescent="0.3">
      <c r="J409" s="3" t="s">
        <v>1139</v>
      </c>
      <c r="K409" s="3" t="s">
        <v>498</v>
      </c>
      <c r="L409" t="s">
        <v>1140</v>
      </c>
    </row>
    <row r="410" spans="8:12" x14ac:dyDescent="0.3">
      <c r="J410" s="3" t="s">
        <v>1141</v>
      </c>
      <c r="K410" s="3" t="s">
        <v>498</v>
      </c>
      <c r="L410" t="s">
        <v>1142</v>
      </c>
    </row>
    <row r="411" spans="8:12" x14ac:dyDescent="0.3">
      <c r="I411" s="3"/>
      <c r="J411" s="3" t="s">
        <v>1143</v>
      </c>
      <c r="K411" s="3" t="s">
        <v>498</v>
      </c>
      <c r="L411" t="s">
        <v>1144</v>
      </c>
    </row>
    <row r="412" spans="8:12" x14ac:dyDescent="0.3">
      <c r="I412" s="3"/>
      <c r="J412" s="3" t="s">
        <v>1145</v>
      </c>
      <c r="K412" s="3" t="s">
        <v>498</v>
      </c>
      <c r="L412" t="s">
        <v>1146</v>
      </c>
    </row>
    <row r="413" spans="8:12" x14ac:dyDescent="0.3">
      <c r="J413" s="3" t="s">
        <v>1147</v>
      </c>
      <c r="K413" s="3" t="s">
        <v>498</v>
      </c>
      <c r="L413" t="s">
        <v>1148</v>
      </c>
    </row>
    <row r="414" spans="8:12" x14ac:dyDescent="0.3">
      <c r="I414" s="3"/>
      <c r="J414" s="3" t="s">
        <v>1149</v>
      </c>
      <c r="K414" s="3" t="s">
        <v>498</v>
      </c>
      <c r="L414" t="s">
        <v>1150</v>
      </c>
    </row>
    <row r="415" spans="8:12" x14ac:dyDescent="0.3">
      <c r="H415" s="3"/>
      <c r="J415" s="3" t="s">
        <v>1151</v>
      </c>
      <c r="K415" s="3" t="s">
        <v>498</v>
      </c>
      <c r="L415" t="s">
        <v>1152</v>
      </c>
    </row>
    <row r="416" spans="8:12" x14ac:dyDescent="0.3">
      <c r="I416" s="3"/>
      <c r="J416" s="3" t="s">
        <v>1153</v>
      </c>
      <c r="K416" s="3" t="s">
        <v>498</v>
      </c>
      <c r="L416" t="s">
        <v>1154</v>
      </c>
    </row>
    <row r="417" spans="10:12" x14ac:dyDescent="0.3">
      <c r="J417" s="3" t="s">
        <v>1155</v>
      </c>
      <c r="K417" s="3" t="s">
        <v>498</v>
      </c>
      <c r="L417" t="s">
        <v>1156</v>
      </c>
    </row>
    <row r="418" spans="10:12" x14ac:dyDescent="0.3">
      <c r="J418" s="3" t="s">
        <v>1157</v>
      </c>
      <c r="K418" s="3" t="s">
        <v>498</v>
      </c>
      <c r="L418" t="s">
        <v>522</v>
      </c>
    </row>
    <row r="419" spans="10:12" x14ac:dyDescent="0.3">
      <c r="J419" s="3" t="s">
        <v>1158</v>
      </c>
      <c r="K419" s="3" t="s">
        <v>498</v>
      </c>
      <c r="L419" t="s">
        <v>1159</v>
      </c>
    </row>
    <row r="420" spans="10:12" x14ac:dyDescent="0.3">
      <c r="J420" s="3" t="s">
        <v>1160</v>
      </c>
      <c r="K420" s="3" t="s">
        <v>498</v>
      </c>
      <c r="L420" t="s">
        <v>1161</v>
      </c>
    </row>
    <row r="421" spans="10:12" x14ac:dyDescent="0.3">
      <c r="J421" s="3" t="s">
        <v>1162</v>
      </c>
      <c r="K421" s="3" t="s">
        <v>498</v>
      </c>
      <c r="L421" t="s">
        <v>1163</v>
      </c>
    </row>
    <row r="422" spans="10:12" x14ac:dyDescent="0.3">
      <c r="J422" s="3" t="s">
        <v>1164</v>
      </c>
      <c r="K422" s="3" t="s">
        <v>498</v>
      </c>
      <c r="L422" t="s">
        <v>1165</v>
      </c>
    </row>
    <row r="423" spans="10:12" x14ac:dyDescent="0.3">
      <c r="J423" s="3" t="s">
        <v>1166</v>
      </c>
      <c r="K423" s="3" t="s">
        <v>498</v>
      </c>
      <c r="L423" t="s">
        <v>1167</v>
      </c>
    </row>
    <row r="424" spans="10:12" x14ac:dyDescent="0.3">
      <c r="J424" s="3" t="s">
        <v>1168</v>
      </c>
      <c r="K424" s="3" t="s">
        <v>498</v>
      </c>
      <c r="L424" t="s">
        <v>1169</v>
      </c>
    </row>
    <row r="425" spans="10:12" x14ac:dyDescent="0.3">
      <c r="J425" s="3" t="s">
        <v>1170</v>
      </c>
      <c r="K425" s="3" t="s">
        <v>498</v>
      </c>
      <c r="L425" t="s">
        <v>1171</v>
      </c>
    </row>
    <row r="426" spans="10:12" x14ac:dyDescent="0.3">
      <c r="J426" s="3" t="s">
        <v>1172</v>
      </c>
      <c r="K426" s="3" t="s">
        <v>498</v>
      </c>
      <c r="L426" t="s">
        <v>1173</v>
      </c>
    </row>
    <row r="427" spans="10:12" x14ac:dyDescent="0.3">
      <c r="J427" s="3" t="s">
        <v>1174</v>
      </c>
      <c r="K427" s="3" t="s">
        <v>498</v>
      </c>
      <c r="L427" t="s">
        <v>1175</v>
      </c>
    </row>
    <row r="428" spans="10:12" x14ac:dyDescent="0.3">
      <c r="J428" s="3" t="s">
        <v>1176</v>
      </c>
      <c r="K428" s="3" t="s">
        <v>498</v>
      </c>
      <c r="L428" t="s">
        <v>1177</v>
      </c>
    </row>
    <row r="429" spans="10:12" x14ac:dyDescent="0.3">
      <c r="J429" s="3" t="s">
        <v>1178</v>
      </c>
      <c r="K429" s="3" t="s">
        <v>498</v>
      </c>
      <c r="L429" t="s">
        <v>628</v>
      </c>
    </row>
    <row r="430" spans="10:12" x14ac:dyDescent="0.3">
      <c r="J430" s="3" t="s">
        <v>1179</v>
      </c>
      <c r="K430" s="3" t="s">
        <v>498</v>
      </c>
      <c r="L430" t="s">
        <v>1180</v>
      </c>
    </row>
    <row r="431" spans="10:12" x14ac:dyDescent="0.3">
      <c r="J431" s="3" t="s">
        <v>1181</v>
      </c>
      <c r="K431" s="3" t="s">
        <v>498</v>
      </c>
      <c r="L431" t="s">
        <v>1182</v>
      </c>
    </row>
    <row r="432" spans="10:12" x14ac:dyDescent="0.3">
      <c r="J432" s="3" t="s">
        <v>1183</v>
      </c>
      <c r="K432" s="3" t="s">
        <v>498</v>
      </c>
      <c r="L432" t="s">
        <v>1184</v>
      </c>
    </row>
    <row r="433" spans="1:12" x14ac:dyDescent="0.3">
      <c r="J433" s="3" t="s">
        <v>1185</v>
      </c>
      <c r="K433" s="3" t="s">
        <v>498</v>
      </c>
      <c r="L433" t="s">
        <v>1186</v>
      </c>
    </row>
    <row r="434" spans="1:12" x14ac:dyDescent="0.3">
      <c r="J434" s="3" t="s">
        <v>1187</v>
      </c>
      <c r="K434" s="3" t="s">
        <v>498</v>
      </c>
      <c r="L434" t="s">
        <v>1188</v>
      </c>
    </row>
    <row r="435" spans="1:12" x14ac:dyDescent="0.3">
      <c r="J435" s="3" t="s">
        <v>1189</v>
      </c>
      <c r="K435" s="3" t="s">
        <v>498</v>
      </c>
      <c r="L435" t="s">
        <v>1190</v>
      </c>
    </row>
    <row r="436" spans="1:12" x14ac:dyDescent="0.3">
      <c r="J436" s="3" t="s">
        <v>1191</v>
      </c>
      <c r="K436" s="3" t="s">
        <v>498</v>
      </c>
      <c r="L436" t="s">
        <v>1192</v>
      </c>
    </row>
    <row r="437" spans="1:12" x14ac:dyDescent="0.3">
      <c r="J437" s="3" t="s">
        <v>1193</v>
      </c>
      <c r="K437" s="3" t="s">
        <v>498</v>
      </c>
      <c r="L437" t="s">
        <v>1194</v>
      </c>
    </row>
    <row r="438" spans="1:12" x14ac:dyDescent="0.3">
      <c r="J438" s="3" t="s">
        <v>1195</v>
      </c>
      <c r="K438" s="3" t="s">
        <v>498</v>
      </c>
      <c r="L438" t="s">
        <v>1196</v>
      </c>
    </row>
    <row r="439" spans="1:12" x14ac:dyDescent="0.3">
      <c r="J439" s="3" t="s">
        <v>1197</v>
      </c>
      <c r="K439" s="3" t="s">
        <v>498</v>
      </c>
      <c r="L439" t="s">
        <v>1198</v>
      </c>
    </row>
    <row r="440" spans="1:12" x14ac:dyDescent="0.3">
      <c r="A440" s="5"/>
      <c r="B440" s="5"/>
      <c r="C440" s="5"/>
      <c r="D440" s="5"/>
      <c r="E440" s="5"/>
      <c r="F440" s="5"/>
      <c r="G440" s="5"/>
      <c r="H440" s="3"/>
      <c r="J440" s="3" t="s">
        <v>1199</v>
      </c>
      <c r="K440" s="3" t="s">
        <v>498</v>
      </c>
      <c r="L440" t="s">
        <v>630</v>
      </c>
    </row>
    <row r="441" spans="1:12" x14ac:dyDescent="0.3">
      <c r="J441" s="3" t="s">
        <v>1200</v>
      </c>
      <c r="K441" s="3" t="s">
        <v>498</v>
      </c>
      <c r="L441" t="s">
        <v>1201</v>
      </c>
    </row>
    <row r="442" spans="1:12" x14ac:dyDescent="0.3">
      <c r="J442" s="3" t="s">
        <v>1202</v>
      </c>
      <c r="K442" s="3" t="s">
        <v>498</v>
      </c>
      <c r="L442" t="s">
        <v>1203</v>
      </c>
    </row>
    <row r="443" spans="1:12" x14ac:dyDescent="0.3">
      <c r="J443" s="3" t="s">
        <v>1204</v>
      </c>
      <c r="K443" s="3" t="s">
        <v>498</v>
      </c>
      <c r="L443" t="s">
        <v>1203</v>
      </c>
    </row>
    <row r="444" spans="1:12" x14ac:dyDescent="0.3">
      <c r="J444" s="3" t="s">
        <v>1205</v>
      </c>
      <c r="K444" s="3" t="s">
        <v>498</v>
      </c>
      <c r="L444" t="s">
        <v>1206</v>
      </c>
    </row>
    <row r="445" spans="1:12" x14ac:dyDescent="0.3">
      <c r="J445" s="3" t="s">
        <v>1207</v>
      </c>
      <c r="K445" s="3" t="s">
        <v>498</v>
      </c>
      <c r="L445" t="s">
        <v>1208</v>
      </c>
    </row>
    <row r="446" spans="1:12" x14ac:dyDescent="0.3">
      <c r="H446" s="3"/>
      <c r="J446" s="3" t="s">
        <v>1209</v>
      </c>
      <c r="K446" s="3" t="s">
        <v>498</v>
      </c>
      <c r="L446" t="s">
        <v>1210</v>
      </c>
    </row>
    <row r="447" spans="1:12" x14ac:dyDescent="0.3">
      <c r="J447" s="3" t="s">
        <v>1211</v>
      </c>
      <c r="K447" s="3" t="s">
        <v>498</v>
      </c>
      <c r="L447" t="s">
        <v>1212</v>
      </c>
    </row>
    <row r="448" spans="1:12" x14ac:dyDescent="0.3">
      <c r="J448" s="3" t="s">
        <v>1213</v>
      </c>
      <c r="K448" s="3" t="s">
        <v>498</v>
      </c>
      <c r="L448" t="s">
        <v>1214</v>
      </c>
    </row>
    <row r="449" spans="8:12" x14ac:dyDescent="0.3">
      <c r="J449" s="3" t="s">
        <v>1215</v>
      </c>
      <c r="K449" s="3" t="s">
        <v>498</v>
      </c>
      <c r="L449" t="s">
        <v>1216</v>
      </c>
    </row>
    <row r="450" spans="8:12" x14ac:dyDescent="0.3">
      <c r="H450" s="3"/>
      <c r="J450" s="3" t="s">
        <v>1217</v>
      </c>
      <c r="K450" s="3" t="s">
        <v>498</v>
      </c>
      <c r="L450" t="s">
        <v>1218</v>
      </c>
    </row>
    <row r="451" spans="8:12" x14ac:dyDescent="0.3">
      <c r="J451" s="3" t="s">
        <v>1219</v>
      </c>
      <c r="K451" s="3" t="s">
        <v>498</v>
      </c>
      <c r="L451" t="s">
        <v>632</v>
      </c>
    </row>
    <row r="452" spans="8:12" x14ac:dyDescent="0.3">
      <c r="J452" s="3" t="s">
        <v>1220</v>
      </c>
      <c r="K452" s="3" t="s">
        <v>498</v>
      </c>
      <c r="L452" t="s">
        <v>1221</v>
      </c>
    </row>
    <row r="453" spans="8:12" x14ac:dyDescent="0.3">
      <c r="J453" s="3" t="s">
        <v>1222</v>
      </c>
      <c r="K453" s="3" t="s">
        <v>498</v>
      </c>
      <c r="L453" t="s">
        <v>1223</v>
      </c>
    </row>
    <row r="454" spans="8:12" x14ac:dyDescent="0.3">
      <c r="J454" s="3" t="s">
        <v>1224</v>
      </c>
      <c r="K454" s="3" t="s">
        <v>498</v>
      </c>
      <c r="L454" t="s">
        <v>1225</v>
      </c>
    </row>
    <row r="455" spans="8:12" x14ac:dyDescent="0.3">
      <c r="J455" s="3" t="s">
        <v>1226</v>
      </c>
      <c r="K455" s="3" t="s">
        <v>498</v>
      </c>
      <c r="L455" t="s">
        <v>1227</v>
      </c>
    </row>
    <row r="456" spans="8:12" x14ac:dyDescent="0.3">
      <c r="J456" s="3" t="s">
        <v>1228</v>
      </c>
      <c r="K456" s="3" t="s">
        <v>498</v>
      </c>
      <c r="L456" t="s">
        <v>1229</v>
      </c>
    </row>
    <row r="457" spans="8:12" x14ac:dyDescent="0.3">
      <c r="J457" s="3" t="s">
        <v>1230</v>
      </c>
      <c r="K457" s="3" t="s">
        <v>498</v>
      </c>
      <c r="L457" t="s">
        <v>1231</v>
      </c>
    </row>
    <row r="458" spans="8:12" x14ac:dyDescent="0.3">
      <c r="J458" s="3" t="s">
        <v>1232</v>
      </c>
      <c r="K458" s="3" t="s">
        <v>498</v>
      </c>
      <c r="L458" t="s">
        <v>1233</v>
      </c>
    </row>
    <row r="459" spans="8:12" x14ac:dyDescent="0.3">
      <c r="J459" s="3" t="s">
        <v>1234</v>
      </c>
      <c r="K459" s="3" t="s">
        <v>498</v>
      </c>
      <c r="L459" t="s">
        <v>1235</v>
      </c>
    </row>
    <row r="460" spans="8:12" x14ac:dyDescent="0.3">
      <c r="J460" s="3" t="s">
        <v>1236</v>
      </c>
      <c r="K460" s="3" t="s">
        <v>498</v>
      </c>
      <c r="L460" t="s">
        <v>1237</v>
      </c>
    </row>
    <row r="461" spans="8:12" x14ac:dyDescent="0.3">
      <c r="J461" s="3" t="s">
        <v>1238</v>
      </c>
      <c r="K461" s="3" t="s">
        <v>498</v>
      </c>
      <c r="L461" t="s">
        <v>1239</v>
      </c>
    </row>
    <row r="462" spans="8:12" x14ac:dyDescent="0.3">
      <c r="J462" s="3" t="s">
        <v>1240</v>
      </c>
      <c r="K462" s="3" t="s">
        <v>498</v>
      </c>
      <c r="L462" t="s">
        <v>1063</v>
      </c>
    </row>
    <row r="463" spans="8:12" x14ac:dyDescent="0.3">
      <c r="J463" s="3" t="s">
        <v>1241</v>
      </c>
      <c r="K463" s="3" t="s">
        <v>498</v>
      </c>
      <c r="L463" t="s">
        <v>634</v>
      </c>
    </row>
    <row r="464" spans="8:12" x14ac:dyDescent="0.3">
      <c r="J464" s="3" t="s">
        <v>1242</v>
      </c>
      <c r="K464" s="3" t="s">
        <v>498</v>
      </c>
      <c r="L464" t="s">
        <v>1243</v>
      </c>
    </row>
    <row r="465" spans="8:12" x14ac:dyDescent="0.3">
      <c r="J465" s="3" t="s">
        <v>1244</v>
      </c>
      <c r="K465" s="3" t="s">
        <v>498</v>
      </c>
      <c r="L465" t="s">
        <v>1245</v>
      </c>
    </row>
    <row r="466" spans="8:12" x14ac:dyDescent="0.3">
      <c r="J466" s="3" t="s">
        <v>1246</v>
      </c>
      <c r="K466" s="3" t="s">
        <v>498</v>
      </c>
      <c r="L466" t="s">
        <v>1247</v>
      </c>
    </row>
    <row r="467" spans="8:12" x14ac:dyDescent="0.3">
      <c r="J467" s="3" t="s">
        <v>1248</v>
      </c>
      <c r="K467" s="3" t="s">
        <v>498</v>
      </c>
      <c r="L467" t="s">
        <v>1249</v>
      </c>
    </row>
    <row r="468" spans="8:12" x14ac:dyDescent="0.3">
      <c r="J468" s="3" t="s">
        <v>1250</v>
      </c>
      <c r="K468" s="3" t="s">
        <v>498</v>
      </c>
      <c r="L468" t="s">
        <v>1251</v>
      </c>
    </row>
    <row r="469" spans="8:12" x14ac:dyDescent="0.3">
      <c r="J469" s="3" t="s">
        <v>1252</v>
      </c>
      <c r="K469" s="3" t="s">
        <v>498</v>
      </c>
      <c r="L469" t="s">
        <v>1253</v>
      </c>
    </row>
    <row r="470" spans="8:12" x14ac:dyDescent="0.3">
      <c r="J470" s="3" t="s">
        <v>1254</v>
      </c>
      <c r="K470" s="3" t="s">
        <v>498</v>
      </c>
      <c r="L470" t="s">
        <v>1255</v>
      </c>
    </row>
    <row r="471" spans="8:12" x14ac:dyDescent="0.3">
      <c r="J471" s="3" t="s">
        <v>1256</v>
      </c>
      <c r="K471" s="3" t="s">
        <v>498</v>
      </c>
      <c r="L471" t="s">
        <v>1257</v>
      </c>
    </row>
    <row r="472" spans="8:12" x14ac:dyDescent="0.3">
      <c r="J472" s="3" t="s">
        <v>1258</v>
      </c>
      <c r="K472" s="3" t="s">
        <v>498</v>
      </c>
      <c r="L472" t="s">
        <v>1259</v>
      </c>
    </row>
    <row r="473" spans="8:12" x14ac:dyDescent="0.3">
      <c r="J473" s="3" t="s">
        <v>1260</v>
      </c>
      <c r="K473" s="3" t="s">
        <v>498</v>
      </c>
      <c r="L473" t="s">
        <v>1261</v>
      </c>
    </row>
    <row r="474" spans="8:12" x14ac:dyDescent="0.3">
      <c r="J474" s="3" t="s">
        <v>1262</v>
      </c>
      <c r="K474" s="3" t="s">
        <v>498</v>
      </c>
      <c r="L474" t="s">
        <v>636</v>
      </c>
    </row>
    <row r="475" spans="8:12" x14ac:dyDescent="0.3">
      <c r="J475" s="3" t="s">
        <v>1263</v>
      </c>
      <c r="K475" s="3" t="s">
        <v>498</v>
      </c>
      <c r="L475" t="s">
        <v>1264</v>
      </c>
    </row>
    <row r="476" spans="8:12" x14ac:dyDescent="0.3">
      <c r="H476" s="3"/>
      <c r="J476" s="3" t="s">
        <v>1265</v>
      </c>
      <c r="K476" s="3" t="s">
        <v>498</v>
      </c>
      <c r="L476" t="s">
        <v>1266</v>
      </c>
    </row>
    <row r="477" spans="8:12" x14ac:dyDescent="0.3">
      <c r="J477" s="3" t="s">
        <v>1267</v>
      </c>
      <c r="K477" s="3" t="s">
        <v>498</v>
      </c>
      <c r="L477" t="s">
        <v>1268</v>
      </c>
    </row>
    <row r="478" spans="8:12" x14ac:dyDescent="0.3">
      <c r="J478" s="3" t="s">
        <v>1269</v>
      </c>
      <c r="K478" s="3" t="s">
        <v>498</v>
      </c>
      <c r="L478" t="s">
        <v>1270</v>
      </c>
    </row>
    <row r="479" spans="8:12" x14ac:dyDescent="0.3">
      <c r="J479" s="3" t="s">
        <v>1271</v>
      </c>
      <c r="K479" s="3" t="s">
        <v>498</v>
      </c>
      <c r="L479" t="s">
        <v>1272</v>
      </c>
    </row>
    <row r="480" spans="8:12" x14ac:dyDescent="0.3">
      <c r="J480" s="3" t="s">
        <v>1273</v>
      </c>
      <c r="K480" s="3" t="s">
        <v>498</v>
      </c>
      <c r="L480" t="s">
        <v>1274</v>
      </c>
    </row>
    <row r="481" spans="10:12" x14ac:dyDescent="0.3">
      <c r="J481" s="3" t="s">
        <v>1275</v>
      </c>
      <c r="K481" s="3" t="s">
        <v>498</v>
      </c>
      <c r="L481" t="s">
        <v>1276</v>
      </c>
    </row>
    <row r="482" spans="10:12" x14ac:dyDescent="0.3">
      <c r="J482" s="3" t="s">
        <v>1277</v>
      </c>
      <c r="K482" s="3" t="s">
        <v>498</v>
      </c>
      <c r="L482" t="s">
        <v>1278</v>
      </c>
    </row>
    <row r="483" spans="10:12" x14ac:dyDescent="0.3">
      <c r="J483" s="3" t="s">
        <v>1279</v>
      </c>
      <c r="K483" s="3" t="s">
        <v>498</v>
      </c>
      <c r="L483" t="s">
        <v>1280</v>
      </c>
    </row>
    <row r="484" spans="10:12" x14ac:dyDescent="0.3">
      <c r="J484" s="3" t="s">
        <v>1281</v>
      </c>
      <c r="K484" s="3" t="s">
        <v>498</v>
      </c>
      <c r="L484" t="s">
        <v>1282</v>
      </c>
    </row>
    <row r="485" spans="10:12" x14ac:dyDescent="0.3">
      <c r="J485" s="3" t="s">
        <v>1283</v>
      </c>
      <c r="K485" s="3" t="s">
        <v>498</v>
      </c>
      <c r="L485" t="s">
        <v>638</v>
      </c>
    </row>
    <row r="486" spans="10:12" x14ac:dyDescent="0.3">
      <c r="J486" s="3" t="s">
        <v>1284</v>
      </c>
      <c r="K486" s="3" t="s">
        <v>498</v>
      </c>
      <c r="L486" t="s">
        <v>1285</v>
      </c>
    </row>
    <row r="487" spans="10:12" x14ac:dyDescent="0.3">
      <c r="J487" s="3" t="s">
        <v>1286</v>
      </c>
      <c r="K487" s="3" t="s">
        <v>498</v>
      </c>
      <c r="L487" t="s">
        <v>1287</v>
      </c>
    </row>
    <row r="488" spans="10:12" x14ac:dyDescent="0.3">
      <c r="J488" s="3" t="s">
        <v>1288</v>
      </c>
      <c r="K488" s="3" t="s">
        <v>498</v>
      </c>
      <c r="L488" t="s">
        <v>1289</v>
      </c>
    </row>
    <row r="489" spans="10:12" x14ac:dyDescent="0.3">
      <c r="J489" s="3" t="s">
        <v>1290</v>
      </c>
      <c r="K489" s="3" t="s">
        <v>498</v>
      </c>
      <c r="L489" t="s">
        <v>1291</v>
      </c>
    </row>
    <row r="490" spans="10:12" x14ac:dyDescent="0.3">
      <c r="J490" s="3" t="s">
        <v>1292</v>
      </c>
      <c r="K490" s="3" t="s">
        <v>498</v>
      </c>
      <c r="L490" t="s">
        <v>1293</v>
      </c>
    </row>
    <row r="491" spans="10:12" x14ac:dyDescent="0.3">
      <c r="J491" s="3" t="s">
        <v>1294</v>
      </c>
      <c r="K491" s="3" t="s">
        <v>498</v>
      </c>
      <c r="L491" t="s">
        <v>1295</v>
      </c>
    </row>
    <row r="492" spans="10:12" x14ac:dyDescent="0.3">
      <c r="J492" s="3" t="s">
        <v>1296</v>
      </c>
      <c r="K492" s="3" t="s">
        <v>498</v>
      </c>
      <c r="L492" t="s">
        <v>1297</v>
      </c>
    </row>
    <row r="493" spans="10:12" x14ac:dyDescent="0.3">
      <c r="J493" s="3" t="s">
        <v>1298</v>
      </c>
      <c r="K493" s="3" t="s">
        <v>498</v>
      </c>
      <c r="L493" t="s">
        <v>1299</v>
      </c>
    </row>
    <row r="494" spans="10:12" x14ac:dyDescent="0.3">
      <c r="J494" s="3" t="s">
        <v>1300</v>
      </c>
      <c r="K494" s="3" t="s">
        <v>498</v>
      </c>
      <c r="L494" t="s">
        <v>1301</v>
      </c>
    </row>
    <row r="495" spans="10:12" x14ac:dyDescent="0.3">
      <c r="J495" s="3" t="s">
        <v>1302</v>
      </c>
      <c r="K495" s="3" t="s">
        <v>498</v>
      </c>
      <c r="L495" t="s">
        <v>1303</v>
      </c>
    </row>
    <row r="496" spans="10:12" x14ac:dyDescent="0.3">
      <c r="J496" s="3" t="s">
        <v>1304</v>
      </c>
      <c r="K496" s="3" t="s">
        <v>498</v>
      </c>
      <c r="L496" t="s">
        <v>640</v>
      </c>
    </row>
    <row r="497" spans="10:12" x14ac:dyDescent="0.3">
      <c r="J497" s="3" t="s">
        <v>1305</v>
      </c>
      <c r="K497" s="3" t="s">
        <v>498</v>
      </c>
      <c r="L497" t="s">
        <v>1306</v>
      </c>
    </row>
    <row r="498" spans="10:12" x14ac:dyDescent="0.3">
      <c r="J498" s="3" t="s">
        <v>1307</v>
      </c>
      <c r="K498" s="3" t="s">
        <v>498</v>
      </c>
      <c r="L498" t="s">
        <v>1308</v>
      </c>
    </row>
    <row r="499" spans="10:12" x14ac:dyDescent="0.3">
      <c r="J499" s="3" t="s">
        <v>1309</v>
      </c>
      <c r="K499" s="3" t="s">
        <v>498</v>
      </c>
      <c r="L499" t="s">
        <v>1310</v>
      </c>
    </row>
    <row r="500" spans="10:12" x14ac:dyDescent="0.3">
      <c r="J500" s="3" t="s">
        <v>1311</v>
      </c>
      <c r="K500" s="3" t="s">
        <v>498</v>
      </c>
      <c r="L500" t="s">
        <v>1310</v>
      </c>
    </row>
    <row r="501" spans="10:12" x14ac:dyDescent="0.3">
      <c r="J501" s="3" t="s">
        <v>1312</v>
      </c>
      <c r="K501" s="3" t="s">
        <v>498</v>
      </c>
      <c r="L501" t="s">
        <v>1313</v>
      </c>
    </row>
    <row r="502" spans="10:12" x14ac:dyDescent="0.3">
      <c r="J502" s="3" t="s">
        <v>1314</v>
      </c>
      <c r="K502" s="3" t="s">
        <v>498</v>
      </c>
      <c r="L502" t="s">
        <v>1315</v>
      </c>
    </row>
    <row r="503" spans="10:12" x14ac:dyDescent="0.3">
      <c r="J503" s="3" t="s">
        <v>1316</v>
      </c>
      <c r="K503" s="3" t="s">
        <v>498</v>
      </c>
      <c r="L503" t="s">
        <v>1317</v>
      </c>
    </row>
    <row r="504" spans="10:12" x14ac:dyDescent="0.3">
      <c r="J504" s="3" t="s">
        <v>1318</v>
      </c>
      <c r="K504" s="3" t="s">
        <v>498</v>
      </c>
      <c r="L504" t="s">
        <v>1319</v>
      </c>
    </row>
    <row r="505" spans="10:12" x14ac:dyDescent="0.3">
      <c r="J505" s="3" t="s">
        <v>1320</v>
      </c>
      <c r="K505" s="3" t="s">
        <v>498</v>
      </c>
      <c r="L505" t="s">
        <v>1321</v>
      </c>
    </row>
    <row r="506" spans="10:12" x14ac:dyDescent="0.3">
      <c r="J506" s="3" t="s">
        <v>1322</v>
      </c>
      <c r="K506" s="3" t="s">
        <v>498</v>
      </c>
      <c r="L506" t="s">
        <v>1323</v>
      </c>
    </row>
    <row r="507" spans="10:12" x14ac:dyDescent="0.3">
      <c r="J507" s="3" t="s">
        <v>1324</v>
      </c>
      <c r="K507" s="3" t="s">
        <v>498</v>
      </c>
      <c r="L507" t="s">
        <v>642</v>
      </c>
    </row>
    <row r="508" spans="10:12" x14ac:dyDescent="0.3">
      <c r="J508" s="3" t="s">
        <v>1325</v>
      </c>
      <c r="K508" s="3" t="s">
        <v>498</v>
      </c>
      <c r="L508" t="s">
        <v>1326</v>
      </c>
    </row>
    <row r="509" spans="10:12" x14ac:dyDescent="0.3">
      <c r="J509" s="3" t="s">
        <v>1327</v>
      </c>
      <c r="K509" s="3" t="s">
        <v>498</v>
      </c>
      <c r="L509" t="s">
        <v>1328</v>
      </c>
    </row>
    <row r="510" spans="10:12" x14ac:dyDescent="0.3">
      <c r="J510" s="3" t="s">
        <v>1329</v>
      </c>
      <c r="K510" s="3" t="s">
        <v>498</v>
      </c>
      <c r="L510" t="s">
        <v>1330</v>
      </c>
    </row>
    <row r="511" spans="10:12" x14ac:dyDescent="0.3">
      <c r="J511" s="3" t="s">
        <v>1331</v>
      </c>
      <c r="K511" s="3" t="s">
        <v>498</v>
      </c>
      <c r="L511" t="s">
        <v>1332</v>
      </c>
    </row>
    <row r="512" spans="10:12" x14ac:dyDescent="0.3">
      <c r="J512" s="3" t="s">
        <v>1333</v>
      </c>
      <c r="K512" s="3" t="s">
        <v>498</v>
      </c>
      <c r="L512" t="s">
        <v>1334</v>
      </c>
    </row>
    <row r="513" spans="10:12" x14ac:dyDescent="0.3">
      <c r="J513" s="3" t="s">
        <v>1335</v>
      </c>
      <c r="K513" s="3" t="s">
        <v>498</v>
      </c>
      <c r="L513" t="s">
        <v>1336</v>
      </c>
    </row>
    <row r="514" spans="10:12" x14ac:dyDescent="0.3">
      <c r="J514" s="3" t="s">
        <v>1337</v>
      </c>
      <c r="K514" s="3" t="s">
        <v>498</v>
      </c>
      <c r="L514" t="s">
        <v>1338</v>
      </c>
    </row>
    <row r="515" spans="10:12" x14ac:dyDescent="0.3">
      <c r="J515" s="3" t="s">
        <v>1339</v>
      </c>
      <c r="K515" s="3" t="s">
        <v>498</v>
      </c>
      <c r="L515" t="s">
        <v>1340</v>
      </c>
    </row>
    <row r="516" spans="10:12" x14ac:dyDescent="0.3">
      <c r="J516" s="3" t="s">
        <v>1341</v>
      </c>
      <c r="K516" s="3" t="s">
        <v>498</v>
      </c>
      <c r="L516" t="s">
        <v>1342</v>
      </c>
    </row>
    <row r="517" spans="10:12" x14ac:dyDescent="0.3">
      <c r="J517" s="3" t="s">
        <v>1343</v>
      </c>
      <c r="K517" s="3" t="s">
        <v>498</v>
      </c>
      <c r="L517" t="s">
        <v>1344</v>
      </c>
    </row>
    <row r="518" spans="10:12" x14ac:dyDescent="0.3">
      <c r="J518" s="3" t="s">
        <v>1345</v>
      </c>
      <c r="K518" s="3" t="s">
        <v>498</v>
      </c>
      <c r="L518" t="s">
        <v>625</v>
      </c>
    </row>
    <row r="519" spans="10:12" x14ac:dyDescent="0.3">
      <c r="J519" s="3" t="s">
        <v>1346</v>
      </c>
      <c r="K519" s="3" t="s">
        <v>498</v>
      </c>
      <c r="L519" t="s">
        <v>1347</v>
      </c>
    </row>
    <row r="520" spans="10:12" x14ac:dyDescent="0.3">
      <c r="J520" s="3" t="s">
        <v>1348</v>
      </c>
      <c r="K520" s="3" t="s">
        <v>498</v>
      </c>
      <c r="L520" t="s">
        <v>1349</v>
      </c>
    </row>
    <row r="521" spans="10:12" x14ac:dyDescent="0.3">
      <c r="J521" s="3" t="s">
        <v>1350</v>
      </c>
      <c r="K521" s="3" t="s">
        <v>498</v>
      </c>
      <c r="L521" t="s">
        <v>1351</v>
      </c>
    </row>
    <row r="522" spans="10:12" x14ac:dyDescent="0.3">
      <c r="J522" s="3" t="s">
        <v>1352</v>
      </c>
      <c r="K522" s="3" t="s">
        <v>498</v>
      </c>
      <c r="L522" t="s">
        <v>1353</v>
      </c>
    </row>
    <row r="523" spans="10:12" x14ac:dyDescent="0.3">
      <c r="J523" s="3" t="s">
        <v>1354</v>
      </c>
      <c r="K523" s="3" t="s">
        <v>498</v>
      </c>
      <c r="L523" t="s">
        <v>1355</v>
      </c>
    </row>
    <row r="524" spans="10:12" x14ac:dyDescent="0.3">
      <c r="J524" s="3" t="s">
        <v>1356</v>
      </c>
      <c r="K524" s="3" t="s">
        <v>498</v>
      </c>
      <c r="L524" t="s">
        <v>1357</v>
      </c>
    </row>
    <row r="525" spans="10:12" x14ac:dyDescent="0.3">
      <c r="J525" s="3" t="s">
        <v>1358</v>
      </c>
      <c r="K525" s="3" t="s">
        <v>498</v>
      </c>
      <c r="L525" t="s">
        <v>1359</v>
      </c>
    </row>
    <row r="526" spans="10:12" x14ac:dyDescent="0.3">
      <c r="J526" s="3" t="s">
        <v>1360</v>
      </c>
      <c r="K526" s="3" t="s">
        <v>498</v>
      </c>
      <c r="L526" t="s">
        <v>1361</v>
      </c>
    </row>
    <row r="527" spans="10:12" x14ac:dyDescent="0.3">
      <c r="J527" s="3" t="s">
        <v>1362</v>
      </c>
      <c r="K527" s="3" t="s">
        <v>498</v>
      </c>
      <c r="L527" t="s">
        <v>1363</v>
      </c>
    </row>
    <row r="528" spans="10:12" x14ac:dyDescent="0.3">
      <c r="J528" s="3" t="s">
        <v>1364</v>
      </c>
      <c r="K528" s="3" t="s">
        <v>498</v>
      </c>
      <c r="L528" t="s">
        <v>1365</v>
      </c>
    </row>
    <row r="529" spans="10:12" x14ac:dyDescent="0.3">
      <c r="J529" s="3" t="s">
        <v>1366</v>
      </c>
      <c r="K529" s="3" t="s">
        <v>498</v>
      </c>
      <c r="L529" t="s">
        <v>645</v>
      </c>
    </row>
    <row r="530" spans="10:12" x14ac:dyDescent="0.3">
      <c r="J530" s="3" t="s">
        <v>1367</v>
      </c>
      <c r="K530" s="3" t="s">
        <v>498</v>
      </c>
      <c r="L530" t="s">
        <v>1368</v>
      </c>
    </row>
    <row r="531" spans="10:12" x14ac:dyDescent="0.3">
      <c r="J531" s="3" t="s">
        <v>1369</v>
      </c>
      <c r="K531" s="3" t="s">
        <v>498</v>
      </c>
      <c r="L531" t="s">
        <v>1370</v>
      </c>
    </row>
    <row r="532" spans="10:12" x14ac:dyDescent="0.3">
      <c r="J532" s="3" t="s">
        <v>1371</v>
      </c>
      <c r="K532" s="3" t="s">
        <v>498</v>
      </c>
      <c r="L532" t="s">
        <v>1372</v>
      </c>
    </row>
    <row r="533" spans="10:12" x14ac:dyDescent="0.3">
      <c r="J533" s="3" t="s">
        <v>1373</v>
      </c>
      <c r="K533" s="3" t="s">
        <v>498</v>
      </c>
      <c r="L533" t="s">
        <v>1374</v>
      </c>
    </row>
    <row r="534" spans="10:12" x14ac:dyDescent="0.3">
      <c r="J534" s="3" t="s">
        <v>1375</v>
      </c>
      <c r="K534" s="3" t="s">
        <v>498</v>
      </c>
      <c r="L534" t="s">
        <v>1376</v>
      </c>
    </row>
    <row r="535" spans="10:12" x14ac:dyDescent="0.3">
      <c r="J535" s="3" t="s">
        <v>1377</v>
      </c>
      <c r="K535" s="3" t="s">
        <v>498</v>
      </c>
      <c r="L535" t="s">
        <v>1378</v>
      </c>
    </row>
    <row r="536" spans="10:12" x14ac:dyDescent="0.3">
      <c r="J536" s="3" t="s">
        <v>1379</v>
      </c>
      <c r="K536" s="3" t="s">
        <v>498</v>
      </c>
      <c r="L536" t="s">
        <v>1380</v>
      </c>
    </row>
    <row r="537" spans="10:12" x14ac:dyDescent="0.3">
      <c r="J537" s="3" t="s">
        <v>1381</v>
      </c>
      <c r="K537" s="3" t="s">
        <v>498</v>
      </c>
      <c r="L537" t="s">
        <v>1382</v>
      </c>
    </row>
    <row r="538" spans="10:12" x14ac:dyDescent="0.3">
      <c r="J538" s="3" t="s">
        <v>1383</v>
      </c>
      <c r="K538" s="3" t="s">
        <v>498</v>
      </c>
      <c r="L538" t="s">
        <v>1384</v>
      </c>
    </row>
    <row r="539" spans="10:12" x14ac:dyDescent="0.3">
      <c r="J539" s="3" t="s">
        <v>1385</v>
      </c>
      <c r="K539" s="3" t="s">
        <v>498</v>
      </c>
      <c r="L539" t="s">
        <v>1386</v>
      </c>
    </row>
    <row r="540" spans="10:12" x14ac:dyDescent="0.3">
      <c r="J540" s="3" t="s">
        <v>1387</v>
      </c>
      <c r="K540" s="3" t="s">
        <v>498</v>
      </c>
      <c r="L540" t="s">
        <v>647</v>
      </c>
    </row>
    <row r="541" spans="10:12" x14ac:dyDescent="0.3">
      <c r="J541" s="3" t="s">
        <v>1388</v>
      </c>
      <c r="K541" s="3" t="s">
        <v>498</v>
      </c>
      <c r="L541" t="s">
        <v>1389</v>
      </c>
    </row>
    <row r="542" spans="10:12" x14ac:dyDescent="0.3">
      <c r="J542" s="3" t="s">
        <v>1390</v>
      </c>
      <c r="K542" s="3" t="s">
        <v>498</v>
      </c>
      <c r="L542" t="s">
        <v>1391</v>
      </c>
    </row>
    <row r="543" spans="10:12" x14ac:dyDescent="0.3">
      <c r="J543" s="3" t="s">
        <v>1392</v>
      </c>
      <c r="K543" s="3" t="s">
        <v>498</v>
      </c>
      <c r="L543" t="s">
        <v>1393</v>
      </c>
    </row>
    <row r="544" spans="10:12" x14ac:dyDescent="0.3">
      <c r="J544" s="3" t="s">
        <v>1394</v>
      </c>
      <c r="K544" s="3" t="s">
        <v>498</v>
      </c>
      <c r="L544" t="s">
        <v>1395</v>
      </c>
    </row>
    <row r="545" spans="10:12" x14ac:dyDescent="0.3">
      <c r="J545" s="3" t="s">
        <v>1396</v>
      </c>
      <c r="K545" s="3" t="s">
        <v>498</v>
      </c>
      <c r="L545" t="s">
        <v>1397</v>
      </c>
    </row>
    <row r="546" spans="10:12" x14ac:dyDescent="0.3">
      <c r="J546" s="3" t="s">
        <v>1398</v>
      </c>
      <c r="K546" s="3" t="s">
        <v>498</v>
      </c>
      <c r="L546" t="s">
        <v>1399</v>
      </c>
    </row>
    <row r="547" spans="10:12" x14ac:dyDescent="0.3">
      <c r="J547" s="3" t="s">
        <v>1400</v>
      </c>
      <c r="K547" s="3" t="s">
        <v>498</v>
      </c>
      <c r="L547" t="s">
        <v>1401</v>
      </c>
    </row>
    <row r="548" spans="10:12" x14ac:dyDescent="0.3">
      <c r="J548" s="3" t="s">
        <v>1402</v>
      </c>
      <c r="K548" s="3" t="s">
        <v>498</v>
      </c>
      <c r="L548" t="s">
        <v>1403</v>
      </c>
    </row>
    <row r="549" spans="10:12" x14ac:dyDescent="0.3">
      <c r="J549" s="3" t="s">
        <v>1404</v>
      </c>
      <c r="K549" s="3" t="s">
        <v>498</v>
      </c>
      <c r="L549" t="s">
        <v>1405</v>
      </c>
    </row>
    <row r="550" spans="10:12" x14ac:dyDescent="0.3">
      <c r="J550" s="3" t="s">
        <v>1406</v>
      </c>
      <c r="K550" s="3" t="s">
        <v>498</v>
      </c>
      <c r="L550" t="s">
        <v>1407</v>
      </c>
    </row>
    <row r="551" spans="10:12" x14ac:dyDescent="0.3">
      <c r="J551" s="3" t="s">
        <v>1408</v>
      </c>
      <c r="K551" s="3" t="s">
        <v>498</v>
      </c>
      <c r="L551" t="s">
        <v>524</v>
      </c>
    </row>
    <row r="552" spans="10:12" x14ac:dyDescent="0.3">
      <c r="J552" s="3" t="s">
        <v>1409</v>
      </c>
      <c r="K552" s="3" t="s">
        <v>498</v>
      </c>
      <c r="L552" t="s">
        <v>1410</v>
      </c>
    </row>
    <row r="553" spans="10:12" x14ac:dyDescent="0.3">
      <c r="J553" s="3" t="s">
        <v>1411</v>
      </c>
      <c r="K553" s="3" t="s">
        <v>498</v>
      </c>
      <c r="L553" t="s">
        <v>1412</v>
      </c>
    </row>
    <row r="554" spans="10:12" x14ac:dyDescent="0.3">
      <c r="J554" s="3" t="s">
        <v>1413</v>
      </c>
      <c r="K554" s="3" t="s">
        <v>498</v>
      </c>
      <c r="L554" t="s">
        <v>1414</v>
      </c>
    </row>
    <row r="555" spans="10:12" x14ac:dyDescent="0.3">
      <c r="J555" s="3" t="s">
        <v>1415</v>
      </c>
      <c r="K555" s="3" t="s">
        <v>498</v>
      </c>
      <c r="L555" t="s">
        <v>1416</v>
      </c>
    </row>
    <row r="556" spans="10:12" x14ac:dyDescent="0.3">
      <c r="J556" s="3" t="s">
        <v>1417</v>
      </c>
      <c r="K556" s="3" t="s">
        <v>498</v>
      </c>
      <c r="L556" t="s">
        <v>1418</v>
      </c>
    </row>
    <row r="557" spans="10:12" x14ac:dyDescent="0.3">
      <c r="J557" s="3" t="s">
        <v>1419</v>
      </c>
      <c r="K557" s="3" t="s">
        <v>498</v>
      </c>
      <c r="L557" t="s">
        <v>1420</v>
      </c>
    </row>
    <row r="558" spans="10:12" x14ac:dyDescent="0.3">
      <c r="J558" s="3" t="s">
        <v>1421</v>
      </c>
      <c r="K558" s="3" t="s">
        <v>498</v>
      </c>
      <c r="L558" t="s">
        <v>1422</v>
      </c>
    </row>
    <row r="559" spans="10:12" x14ac:dyDescent="0.3">
      <c r="J559" s="3" t="s">
        <v>1423</v>
      </c>
      <c r="K559" s="3" t="s">
        <v>498</v>
      </c>
      <c r="L559" t="s">
        <v>1424</v>
      </c>
    </row>
    <row r="560" spans="10:12" x14ac:dyDescent="0.3">
      <c r="J560" s="3" t="s">
        <v>1425</v>
      </c>
      <c r="K560" s="3" t="s">
        <v>498</v>
      </c>
      <c r="L560" t="s">
        <v>1426</v>
      </c>
    </row>
    <row r="561" spans="10:12" x14ac:dyDescent="0.3">
      <c r="J561" s="3" t="s">
        <v>1427</v>
      </c>
      <c r="K561" s="3" t="s">
        <v>498</v>
      </c>
      <c r="L561" t="s">
        <v>1428</v>
      </c>
    </row>
    <row r="562" spans="10:12" x14ac:dyDescent="0.3">
      <c r="J562" s="3" t="s">
        <v>1429</v>
      </c>
      <c r="K562" s="3" t="s">
        <v>498</v>
      </c>
      <c r="L562" t="s">
        <v>546</v>
      </c>
    </row>
    <row r="563" spans="10:12" x14ac:dyDescent="0.3">
      <c r="J563" s="3" t="s">
        <v>1430</v>
      </c>
      <c r="K563" s="3" t="s">
        <v>498</v>
      </c>
      <c r="L563" t="s">
        <v>1431</v>
      </c>
    </row>
    <row r="564" spans="10:12" x14ac:dyDescent="0.3">
      <c r="J564" s="3" t="s">
        <v>1432</v>
      </c>
      <c r="K564" s="3" t="s">
        <v>498</v>
      </c>
      <c r="L564" t="s">
        <v>1433</v>
      </c>
    </row>
    <row r="565" spans="10:12" x14ac:dyDescent="0.3">
      <c r="J565" s="3" t="s">
        <v>1434</v>
      </c>
      <c r="K565" s="3" t="s">
        <v>498</v>
      </c>
      <c r="L565" t="s">
        <v>1435</v>
      </c>
    </row>
    <row r="566" spans="10:12" x14ac:dyDescent="0.3">
      <c r="J566" s="3" t="s">
        <v>1436</v>
      </c>
      <c r="K566" s="3" t="s">
        <v>498</v>
      </c>
      <c r="L566" t="s">
        <v>1437</v>
      </c>
    </row>
    <row r="567" spans="10:12" x14ac:dyDescent="0.3">
      <c r="J567" s="3" t="s">
        <v>1438</v>
      </c>
      <c r="K567" s="3" t="s">
        <v>498</v>
      </c>
      <c r="L567" t="s">
        <v>1439</v>
      </c>
    </row>
    <row r="568" spans="10:12" x14ac:dyDescent="0.3">
      <c r="J568" s="3" t="s">
        <v>1440</v>
      </c>
      <c r="K568" s="3" t="s">
        <v>498</v>
      </c>
      <c r="L568" t="s">
        <v>1441</v>
      </c>
    </row>
    <row r="569" spans="10:12" x14ac:dyDescent="0.3">
      <c r="J569" s="3" t="s">
        <v>1442</v>
      </c>
      <c r="K569" s="3" t="s">
        <v>498</v>
      </c>
      <c r="L569" t="s">
        <v>1443</v>
      </c>
    </row>
    <row r="570" spans="10:12" x14ac:dyDescent="0.3">
      <c r="J570" s="3" t="s">
        <v>1444</v>
      </c>
      <c r="K570" s="3" t="s">
        <v>498</v>
      </c>
      <c r="L570" t="s">
        <v>1445</v>
      </c>
    </row>
    <row r="571" spans="10:12" x14ac:dyDescent="0.3">
      <c r="J571" s="3" t="s">
        <v>1446</v>
      </c>
      <c r="K571" s="3" t="s">
        <v>498</v>
      </c>
      <c r="L571" t="s">
        <v>1447</v>
      </c>
    </row>
    <row r="572" spans="10:12" x14ac:dyDescent="0.3">
      <c r="J572" s="3" t="s">
        <v>1448</v>
      </c>
      <c r="K572" s="3" t="s">
        <v>498</v>
      </c>
      <c r="L572" t="s">
        <v>1449</v>
      </c>
    </row>
    <row r="573" spans="10:12" x14ac:dyDescent="0.3">
      <c r="J573" s="3" t="s">
        <v>1450</v>
      </c>
      <c r="K573" s="3" t="s">
        <v>498</v>
      </c>
      <c r="L573" t="s">
        <v>522</v>
      </c>
    </row>
    <row r="574" spans="10:12" x14ac:dyDescent="0.3">
      <c r="J574" s="3" t="s">
        <v>1451</v>
      </c>
      <c r="K574" s="3" t="s">
        <v>498</v>
      </c>
      <c r="L574" t="s">
        <v>568</v>
      </c>
    </row>
    <row r="575" spans="10:12" x14ac:dyDescent="0.3">
      <c r="J575" s="3" t="s">
        <v>1452</v>
      </c>
      <c r="K575" s="3" t="s">
        <v>498</v>
      </c>
      <c r="L575" t="s">
        <v>1453</v>
      </c>
    </row>
    <row r="576" spans="10:12" x14ac:dyDescent="0.3">
      <c r="J576" s="3" t="s">
        <v>1454</v>
      </c>
      <c r="K576" s="3" t="s">
        <v>498</v>
      </c>
      <c r="L576" t="s">
        <v>1455</v>
      </c>
    </row>
    <row r="577" spans="10:12" x14ac:dyDescent="0.3">
      <c r="J577" s="3" t="s">
        <v>1456</v>
      </c>
      <c r="K577" s="3" t="s">
        <v>498</v>
      </c>
      <c r="L577" t="s">
        <v>1457</v>
      </c>
    </row>
    <row r="578" spans="10:12" x14ac:dyDescent="0.3">
      <c r="J578" s="3" t="s">
        <v>1458</v>
      </c>
      <c r="K578" s="3" t="s">
        <v>498</v>
      </c>
      <c r="L578" t="s">
        <v>1459</v>
      </c>
    </row>
    <row r="579" spans="10:12" x14ac:dyDescent="0.3">
      <c r="J579" s="3" t="s">
        <v>1460</v>
      </c>
      <c r="K579" s="3" t="s">
        <v>498</v>
      </c>
      <c r="L579" t="s">
        <v>1461</v>
      </c>
    </row>
    <row r="580" spans="10:12" x14ac:dyDescent="0.3">
      <c r="J580" s="3" t="s">
        <v>1462</v>
      </c>
      <c r="K580" s="3" t="s">
        <v>498</v>
      </c>
      <c r="L580" t="s">
        <v>1463</v>
      </c>
    </row>
    <row r="581" spans="10:12" x14ac:dyDescent="0.3">
      <c r="J581" s="3" t="s">
        <v>1464</v>
      </c>
      <c r="K581" s="3" t="s">
        <v>498</v>
      </c>
      <c r="L581" t="s">
        <v>1465</v>
      </c>
    </row>
    <row r="582" spans="10:12" x14ac:dyDescent="0.3">
      <c r="J582" s="3" t="s">
        <v>1466</v>
      </c>
      <c r="K582" s="3" t="s">
        <v>498</v>
      </c>
      <c r="L582" t="s">
        <v>1467</v>
      </c>
    </row>
    <row r="583" spans="10:12" x14ac:dyDescent="0.3">
      <c r="J583" s="3" t="s">
        <v>1468</v>
      </c>
      <c r="K583" s="3" t="s">
        <v>498</v>
      </c>
      <c r="L583" t="s">
        <v>1469</v>
      </c>
    </row>
    <row r="584" spans="10:12" x14ac:dyDescent="0.3">
      <c r="J584" s="3" t="s">
        <v>1470</v>
      </c>
      <c r="K584" s="3" t="s">
        <v>498</v>
      </c>
      <c r="L584" t="s">
        <v>1471</v>
      </c>
    </row>
    <row r="585" spans="10:12" x14ac:dyDescent="0.3">
      <c r="J585" s="3" t="s">
        <v>1472</v>
      </c>
      <c r="K585" s="3" t="s">
        <v>498</v>
      </c>
      <c r="L585" t="s">
        <v>590</v>
      </c>
    </row>
    <row r="586" spans="10:12" x14ac:dyDescent="0.3">
      <c r="J586" s="3" t="s">
        <v>1473</v>
      </c>
      <c r="K586" s="3" t="s">
        <v>498</v>
      </c>
      <c r="L586" t="s">
        <v>1474</v>
      </c>
    </row>
    <row r="587" spans="10:12" x14ac:dyDescent="0.3">
      <c r="J587" s="3" t="s">
        <v>1475</v>
      </c>
      <c r="K587" s="3" t="s">
        <v>498</v>
      </c>
      <c r="L587" t="s">
        <v>1476</v>
      </c>
    </row>
    <row r="588" spans="10:12" x14ac:dyDescent="0.3">
      <c r="J588" s="3" t="s">
        <v>1477</v>
      </c>
      <c r="K588" s="3" t="s">
        <v>498</v>
      </c>
      <c r="L588" t="s">
        <v>1478</v>
      </c>
    </row>
    <row r="589" spans="10:12" x14ac:dyDescent="0.3">
      <c r="J589" s="3" t="s">
        <v>1479</v>
      </c>
      <c r="K589" s="3" t="s">
        <v>498</v>
      </c>
      <c r="L589" t="s">
        <v>1480</v>
      </c>
    </row>
    <row r="590" spans="10:12" x14ac:dyDescent="0.3">
      <c r="J590" s="3" t="s">
        <v>1481</v>
      </c>
      <c r="K590" s="3" t="s">
        <v>498</v>
      </c>
      <c r="L590" t="s">
        <v>1482</v>
      </c>
    </row>
    <row r="591" spans="10:12" x14ac:dyDescent="0.3">
      <c r="J591" s="3" t="s">
        <v>1483</v>
      </c>
      <c r="K591" s="3" t="s">
        <v>498</v>
      </c>
      <c r="L591" t="s">
        <v>1484</v>
      </c>
    </row>
    <row r="592" spans="10:12" x14ac:dyDescent="0.3">
      <c r="J592" s="3" t="s">
        <v>1485</v>
      </c>
      <c r="K592" s="3" t="s">
        <v>498</v>
      </c>
      <c r="L592" t="s">
        <v>1486</v>
      </c>
    </row>
    <row r="593" spans="10:12" x14ac:dyDescent="0.3">
      <c r="J593" s="3" t="s">
        <v>1487</v>
      </c>
      <c r="K593" s="3" t="s">
        <v>498</v>
      </c>
      <c r="L593" t="s">
        <v>1488</v>
      </c>
    </row>
    <row r="594" spans="10:12" x14ac:dyDescent="0.3">
      <c r="J594" s="3" t="s">
        <v>1489</v>
      </c>
      <c r="K594" s="3" t="s">
        <v>498</v>
      </c>
      <c r="L594" t="s">
        <v>1490</v>
      </c>
    </row>
    <row r="595" spans="10:12" x14ac:dyDescent="0.3">
      <c r="J595" s="3" t="s">
        <v>1491</v>
      </c>
      <c r="K595" s="3" t="s">
        <v>498</v>
      </c>
      <c r="L595" t="s">
        <v>1492</v>
      </c>
    </row>
    <row r="596" spans="10:12" x14ac:dyDescent="0.3">
      <c r="J596" s="3" t="s">
        <v>1493</v>
      </c>
      <c r="K596" s="3" t="s">
        <v>498</v>
      </c>
      <c r="L596" t="s">
        <v>611</v>
      </c>
    </row>
    <row r="597" spans="10:12" x14ac:dyDescent="0.3">
      <c r="J597" s="3" t="s">
        <v>1494</v>
      </c>
      <c r="K597" s="3" t="s">
        <v>498</v>
      </c>
      <c r="L597" t="s">
        <v>1495</v>
      </c>
    </row>
    <row r="598" spans="10:12" x14ac:dyDescent="0.3">
      <c r="J598" s="3" t="s">
        <v>1496</v>
      </c>
      <c r="K598" s="3" t="s">
        <v>498</v>
      </c>
      <c r="L598" t="s">
        <v>1497</v>
      </c>
    </row>
    <row r="599" spans="10:12" x14ac:dyDescent="0.3">
      <c r="J599" s="3" t="s">
        <v>1498</v>
      </c>
      <c r="K599" s="3" t="s">
        <v>498</v>
      </c>
      <c r="L599" t="s">
        <v>1499</v>
      </c>
    </row>
    <row r="600" spans="10:12" x14ac:dyDescent="0.3">
      <c r="J600" s="3" t="s">
        <v>1500</v>
      </c>
      <c r="K600" s="3" t="s">
        <v>498</v>
      </c>
      <c r="L600" t="s">
        <v>1501</v>
      </c>
    </row>
    <row r="601" spans="10:12" x14ac:dyDescent="0.3">
      <c r="J601" s="3" t="s">
        <v>1502</v>
      </c>
      <c r="K601" s="3" t="s">
        <v>498</v>
      </c>
      <c r="L601" t="s">
        <v>1503</v>
      </c>
    </row>
    <row r="602" spans="10:12" x14ac:dyDescent="0.3">
      <c r="J602" s="3" t="s">
        <v>1504</v>
      </c>
      <c r="K602" s="3" t="s">
        <v>498</v>
      </c>
      <c r="L602" t="s">
        <v>1505</v>
      </c>
    </row>
    <row r="603" spans="10:12" x14ac:dyDescent="0.3">
      <c r="J603" s="3" t="s">
        <v>1506</v>
      </c>
      <c r="K603" s="3" t="s">
        <v>498</v>
      </c>
      <c r="L603" t="s">
        <v>1507</v>
      </c>
    </row>
    <row r="604" spans="10:12" x14ac:dyDescent="0.3">
      <c r="J604" s="3" t="s">
        <v>1508</v>
      </c>
      <c r="K604" s="3" t="s">
        <v>498</v>
      </c>
      <c r="L604" t="s">
        <v>1509</v>
      </c>
    </row>
    <row r="605" spans="10:12" x14ac:dyDescent="0.3">
      <c r="J605" s="3" t="s">
        <v>1510</v>
      </c>
      <c r="K605" s="3" t="s">
        <v>498</v>
      </c>
      <c r="L605" t="s">
        <v>1511</v>
      </c>
    </row>
    <row r="606" spans="10:12" x14ac:dyDescent="0.3">
      <c r="J606" s="3" t="s">
        <v>1512</v>
      </c>
      <c r="K606" s="3" t="s">
        <v>498</v>
      </c>
      <c r="L606" t="s">
        <v>1513</v>
      </c>
    </row>
    <row r="607" spans="10:12" x14ac:dyDescent="0.3">
      <c r="J607" s="3" t="s">
        <v>1514</v>
      </c>
      <c r="K607" s="3" t="s">
        <v>498</v>
      </c>
      <c r="L607" t="s">
        <v>616</v>
      </c>
    </row>
    <row r="608" spans="10:12" x14ac:dyDescent="0.3">
      <c r="J608" s="3" t="s">
        <v>1515</v>
      </c>
      <c r="K608" s="3" t="s">
        <v>498</v>
      </c>
      <c r="L608" t="s">
        <v>1516</v>
      </c>
    </row>
    <row r="609" spans="10:12" x14ac:dyDescent="0.3">
      <c r="J609" s="3" t="s">
        <v>1517</v>
      </c>
      <c r="K609" s="3" t="s">
        <v>498</v>
      </c>
      <c r="L609" t="s">
        <v>1518</v>
      </c>
    </row>
    <row r="610" spans="10:12" x14ac:dyDescent="0.3">
      <c r="J610" s="3" t="s">
        <v>1519</v>
      </c>
      <c r="K610" s="3" t="s">
        <v>498</v>
      </c>
      <c r="L610" t="s">
        <v>1520</v>
      </c>
    </row>
    <row r="611" spans="10:12" x14ac:dyDescent="0.3">
      <c r="J611" s="3" t="s">
        <v>1521</v>
      </c>
      <c r="K611" s="3" t="s">
        <v>498</v>
      </c>
      <c r="L611" t="s">
        <v>1522</v>
      </c>
    </row>
    <row r="612" spans="10:12" x14ac:dyDescent="0.3">
      <c r="J612" s="3" t="s">
        <v>1523</v>
      </c>
      <c r="K612" s="3" t="s">
        <v>498</v>
      </c>
      <c r="L612" t="s">
        <v>1524</v>
      </c>
    </row>
    <row r="613" spans="10:12" x14ac:dyDescent="0.3">
      <c r="J613" s="3" t="s">
        <v>1525</v>
      </c>
      <c r="K613" s="3" t="s">
        <v>498</v>
      </c>
      <c r="L613" t="s">
        <v>1526</v>
      </c>
    </row>
    <row r="614" spans="10:12" x14ac:dyDescent="0.3">
      <c r="J614" s="3" t="s">
        <v>1527</v>
      </c>
      <c r="K614" s="3" t="s">
        <v>498</v>
      </c>
      <c r="L614" t="s">
        <v>1528</v>
      </c>
    </row>
    <row r="615" spans="10:12" x14ac:dyDescent="0.3">
      <c r="J615" s="3" t="s">
        <v>1529</v>
      </c>
      <c r="K615" s="3" t="s">
        <v>498</v>
      </c>
      <c r="L615" t="s">
        <v>1530</v>
      </c>
    </row>
    <row r="616" spans="10:12" x14ac:dyDescent="0.3">
      <c r="J616" s="3" t="s">
        <v>1531</v>
      </c>
      <c r="K616" s="3" t="s">
        <v>498</v>
      </c>
      <c r="L616" t="s">
        <v>1532</v>
      </c>
    </row>
    <row r="617" spans="10:12" x14ac:dyDescent="0.3">
      <c r="J617" s="3" t="s">
        <v>1533</v>
      </c>
      <c r="K617" s="3" t="s">
        <v>498</v>
      </c>
      <c r="L617" t="s">
        <v>1534</v>
      </c>
    </row>
    <row r="618" spans="10:12" x14ac:dyDescent="0.3">
      <c r="J618" s="3" t="s">
        <v>1535</v>
      </c>
      <c r="K618" s="3" t="s">
        <v>498</v>
      </c>
      <c r="L618" t="s">
        <v>618</v>
      </c>
    </row>
    <row r="619" spans="10:12" x14ac:dyDescent="0.3">
      <c r="J619" s="3" t="s">
        <v>1536</v>
      </c>
      <c r="K619" s="3" t="s">
        <v>498</v>
      </c>
      <c r="L619" t="s">
        <v>1537</v>
      </c>
    </row>
    <row r="620" spans="10:12" x14ac:dyDescent="0.3">
      <c r="J620" s="3" t="s">
        <v>1538</v>
      </c>
      <c r="K620" s="3" t="s">
        <v>498</v>
      </c>
      <c r="L620" t="s">
        <v>1539</v>
      </c>
    </row>
    <row r="621" spans="10:12" x14ac:dyDescent="0.3">
      <c r="J621" s="3" t="s">
        <v>1540</v>
      </c>
      <c r="K621" s="3" t="s">
        <v>498</v>
      </c>
      <c r="L621" t="s">
        <v>1541</v>
      </c>
    </row>
    <row r="622" spans="10:12" x14ac:dyDescent="0.3">
      <c r="J622" s="3" t="s">
        <v>1542</v>
      </c>
      <c r="K622" s="3" t="s">
        <v>498</v>
      </c>
      <c r="L622" t="s">
        <v>1543</v>
      </c>
    </row>
    <row r="623" spans="10:12" x14ac:dyDescent="0.3">
      <c r="J623" s="3" t="s">
        <v>1544</v>
      </c>
      <c r="K623" s="3" t="s">
        <v>498</v>
      </c>
      <c r="L623" t="s">
        <v>1545</v>
      </c>
    </row>
    <row r="624" spans="10:12" x14ac:dyDescent="0.3">
      <c r="J624" s="3" t="s">
        <v>1546</v>
      </c>
      <c r="K624" s="3" t="s">
        <v>498</v>
      </c>
      <c r="L624" t="s">
        <v>1547</v>
      </c>
    </row>
    <row r="625" spans="10:12" x14ac:dyDescent="0.3">
      <c r="J625" s="3" t="s">
        <v>1548</v>
      </c>
      <c r="K625" s="3" t="s">
        <v>498</v>
      </c>
      <c r="L625" t="s">
        <v>1549</v>
      </c>
    </row>
    <row r="626" spans="10:12" x14ac:dyDescent="0.3">
      <c r="J626" s="3" t="s">
        <v>1550</v>
      </c>
      <c r="K626" s="3" t="s">
        <v>498</v>
      </c>
      <c r="L626" t="s">
        <v>1551</v>
      </c>
    </row>
    <row r="627" spans="10:12" x14ac:dyDescent="0.3">
      <c r="J627" s="3" t="s">
        <v>1552</v>
      </c>
      <c r="K627" s="3" t="s">
        <v>498</v>
      </c>
      <c r="L627" t="s">
        <v>1553</v>
      </c>
    </row>
    <row r="628" spans="10:12" x14ac:dyDescent="0.3">
      <c r="J628" s="3" t="s">
        <v>1554</v>
      </c>
      <c r="K628" s="3" t="s">
        <v>498</v>
      </c>
      <c r="L628" t="s">
        <v>1555</v>
      </c>
    </row>
    <row r="629" spans="10:12" x14ac:dyDescent="0.3">
      <c r="J629" s="3" t="s">
        <v>1556</v>
      </c>
      <c r="K629" s="3" t="s">
        <v>498</v>
      </c>
      <c r="L629" t="s">
        <v>620</v>
      </c>
    </row>
    <row r="630" spans="10:12" x14ac:dyDescent="0.3">
      <c r="J630" s="3" t="s">
        <v>1557</v>
      </c>
      <c r="K630" s="3" t="s">
        <v>498</v>
      </c>
      <c r="L630" t="s">
        <v>1558</v>
      </c>
    </row>
    <row r="631" spans="10:12" x14ac:dyDescent="0.3">
      <c r="J631" s="3" t="s">
        <v>1559</v>
      </c>
      <c r="K631" s="3" t="s">
        <v>498</v>
      </c>
      <c r="L631" t="s">
        <v>1560</v>
      </c>
    </row>
    <row r="632" spans="10:12" x14ac:dyDescent="0.3">
      <c r="J632" s="3" t="s">
        <v>1561</v>
      </c>
      <c r="K632" s="3" t="s">
        <v>498</v>
      </c>
      <c r="L632" t="s">
        <v>1562</v>
      </c>
    </row>
    <row r="633" spans="10:12" x14ac:dyDescent="0.3">
      <c r="J633" s="3" t="s">
        <v>1563</v>
      </c>
      <c r="K633" s="3" t="s">
        <v>498</v>
      </c>
      <c r="L633" t="s">
        <v>1564</v>
      </c>
    </row>
    <row r="634" spans="10:12" x14ac:dyDescent="0.3">
      <c r="J634" s="3" t="s">
        <v>1565</v>
      </c>
      <c r="K634" s="3" t="s">
        <v>498</v>
      </c>
      <c r="L634" t="s">
        <v>1566</v>
      </c>
    </row>
    <row r="635" spans="10:12" x14ac:dyDescent="0.3">
      <c r="J635" s="3" t="s">
        <v>1567</v>
      </c>
      <c r="K635" s="3" t="s">
        <v>498</v>
      </c>
      <c r="L635" t="s">
        <v>1568</v>
      </c>
    </row>
    <row r="636" spans="10:12" x14ac:dyDescent="0.3">
      <c r="J636" s="3" t="s">
        <v>1569</v>
      </c>
      <c r="K636" s="3" t="s">
        <v>498</v>
      </c>
      <c r="L636" t="s">
        <v>1570</v>
      </c>
    </row>
    <row r="637" spans="10:12" x14ac:dyDescent="0.3">
      <c r="J637" s="3" t="s">
        <v>1571</v>
      </c>
      <c r="K637" s="3" t="s">
        <v>498</v>
      </c>
      <c r="L637" t="s">
        <v>1572</v>
      </c>
    </row>
    <row r="638" spans="10:12" x14ac:dyDescent="0.3">
      <c r="J638" s="3" t="s">
        <v>1573</v>
      </c>
      <c r="K638" s="3" t="s">
        <v>498</v>
      </c>
      <c r="L638" t="s">
        <v>1574</v>
      </c>
    </row>
    <row r="639" spans="10:12" x14ac:dyDescent="0.3">
      <c r="J639" s="3" t="s">
        <v>1575</v>
      </c>
      <c r="K639" s="3" t="s">
        <v>498</v>
      </c>
      <c r="L639" t="s">
        <v>1576</v>
      </c>
    </row>
    <row r="640" spans="10:12" x14ac:dyDescent="0.3">
      <c r="J640" s="3" t="s">
        <v>1577</v>
      </c>
      <c r="K640" s="3" t="s">
        <v>498</v>
      </c>
      <c r="L640" t="s">
        <v>622</v>
      </c>
    </row>
    <row r="641" spans="10:12" x14ac:dyDescent="0.3">
      <c r="J641" s="3" t="s">
        <v>1578</v>
      </c>
      <c r="K641" s="3" t="s">
        <v>498</v>
      </c>
      <c r="L641" t="s">
        <v>1579</v>
      </c>
    </row>
    <row r="642" spans="10:12" x14ac:dyDescent="0.3">
      <c r="J642" s="3" t="s">
        <v>1580</v>
      </c>
      <c r="K642" s="3" t="s">
        <v>498</v>
      </c>
      <c r="L642" t="s">
        <v>1581</v>
      </c>
    </row>
    <row r="643" spans="10:12" x14ac:dyDescent="0.3">
      <c r="J643" s="3" t="s">
        <v>1582</v>
      </c>
      <c r="K643" s="3" t="s">
        <v>498</v>
      </c>
      <c r="L643" t="s">
        <v>1583</v>
      </c>
    </row>
    <row r="644" spans="10:12" x14ac:dyDescent="0.3">
      <c r="J644" s="3" t="s">
        <v>1584</v>
      </c>
      <c r="K644" s="3" t="s">
        <v>498</v>
      </c>
      <c r="L644" t="s">
        <v>1585</v>
      </c>
    </row>
    <row r="645" spans="10:12" x14ac:dyDescent="0.3">
      <c r="J645" s="3" t="s">
        <v>1586</v>
      </c>
      <c r="K645" s="3" t="s">
        <v>498</v>
      </c>
      <c r="L645" t="s">
        <v>1587</v>
      </c>
    </row>
    <row r="646" spans="10:12" x14ac:dyDescent="0.3">
      <c r="J646" s="3" t="s">
        <v>1588</v>
      </c>
      <c r="K646" s="3" t="s">
        <v>498</v>
      </c>
      <c r="L646" t="s">
        <v>1589</v>
      </c>
    </row>
    <row r="647" spans="10:12" x14ac:dyDescent="0.3">
      <c r="J647" s="3" t="s">
        <v>1590</v>
      </c>
      <c r="K647" s="3" t="s">
        <v>498</v>
      </c>
      <c r="L647" t="s">
        <v>1591</v>
      </c>
    </row>
    <row r="648" spans="10:12" x14ac:dyDescent="0.3">
      <c r="J648" s="3" t="s">
        <v>1592</v>
      </c>
      <c r="K648" s="3" t="s">
        <v>498</v>
      </c>
      <c r="L648" t="s">
        <v>1593</v>
      </c>
    </row>
    <row r="649" spans="10:12" x14ac:dyDescent="0.3">
      <c r="J649" s="3" t="s">
        <v>1594</v>
      </c>
      <c r="K649" s="3" t="s">
        <v>498</v>
      </c>
      <c r="L649" t="s">
        <v>1595</v>
      </c>
    </row>
    <row r="650" spans="10:12" x14ac:dyDescent="0.3">
      <c r="J650" s="3" t="s">
        <v>1596</v>
      </c>
      <c r="K650" s="3" t="s">
        <v>498</v>
      </c>
      <c r="L650" t="s">
        <v>1597</v>
      </c>
    </row>
    <row r="651" spans="10:12" x14ac:dyDescent="0.3">
      <c r="J651" s="3" t="s">
        <v>1598</v>
      </c>
      <c r="K651" s="3" t="s">
        <v>498</v>
      </c>
      <c r="L651" t="s">
        <v>522</v>
      </c>
    </row>
    <row r="652" spans="10:12" x14ac:dyDescent="0.3">
      <c r="J652" s="3" t="s">
        <v>1599</v>
      </c>
      <c r="K652" s="3" t="s">
        <v>498</v>
      </c>
      <c r="L652" t="s">
        <v>1600</v>
      </c>
    </row>
    <row r="653" spans="10:12" x14ac:dyDescent="0.3">
      <c r="J653" s="3" t="s">
        <v>1601</v>
      </c>
      <c r="K653" s="3" t="s">
        <v>498</v>
      </c>
      <c r="L653" t="s">
        <v>1602</v>
      </c>
    </row>
    <row r="654" spans="10:12" x14ac:dyDescent="0.3">
      <c r="J654" s="3" t="s">
        <v>1603</v>
      </c>
      <c r="K654" s="3" t="s">
        <v>498</v>
      </c>
      <c r="L654" t="s">
        <v>1604</v>
      </c>
    </row>
    <row r="655" spans="10:12" x14ac:dyDescent="0.3">
      <c r="J655" s="3" t="s">
        <v>1605</v>
      </c>
      <c r="K655" s="3" t="s">
        <v>498</v>
      </c>
      <c r="L655" t="s">
        <v>1606</v>
      </c>
    </row>
    <row r="656" spans="10:12" x14ac:dyDescent="0.3">
      <c r="J656" s="3" t="s">
        <v>1607</v>
      </c>
      <c r="K656" s="3" t="s">
        <v>498</v>
      </c>
      <c r="L656" t="s">
        <v>1608</v>
      </c>
    </row>
    <row r="657" spans="10:12" x14ac:dyDescent="0.3">
      <c r="J657" s="3" t="s">
        <v>1609</v>
      </c>
      <c r="K657" s="3" t="s">
        <v>498</v>
      </c>
      <c r="L657" t="s">
        <v>1610</v>
      </c>
    </row>
    <row r="658" spans="10:12" x14ac:dyDescent="0.3">
      <c r="J658" s="3" t="s">
        <v>1611</v>
      </c>
      <c r="K658" s="3" t="s">
        <v>498</v>
      </c>
      <c r="L658" t="s">
        <v>1612</v>
      </c>
    </row>
    <row r="659" spans="10:12" x14ac:dyDescent="0.3">
      <c r="J659" s="3" t="s">
        <v>1613</v>
      </c>
      <c r="K659" s="3" t="s">
        <v>498</v>
      </c>
      <c r="L659" t="s">
        <v>1614</v>
      </c>
    </row>
    <row r="660" spans="10:12" x14ac:dyDescent="0.3">
      <c r="J660" s="3" t="s">
        <v>1615</v>
      </c>
      <c r="K660" s="3" t="s">
        <v>498</v>
      </c>
      <c r="L660" t="s">
        <v>1616</v>
      </c>
    </row>
    <row r="661" spans="10:12" x14ac:dyDescent="0.3">
      <c r="J661" s="3" t="s">
        <v>1617</v>
      </c>
      <c r="K661" s="3" t="s">
        <v>498</v>
      </c>
      <c r="L661" t="s">
        <v>1618</v>
      </c>
    </row>
    <row r="662" spans="10:12" x14ac:dyDescent="0.3">
      <c r="J662" s="3" t="s">
        <v>1619</v>
      </c>
      <c r="K662" s="3" t="s">
        <v>498</v>
      </c>
      <c r="L662" t="s">
        <v>628</v>
      </c>
    </row>
    <row r="663" spans="10:12" x14ac:dyDescent="0.3">
      <c r="J663" s="3" t="s">
        <v>1620</v>
      </c>
      <c r="K663" s="3" t="s">
        <v>498</v>
      </c>
      <c r="L663" t="s">
        <v>1621</v>
      </c>
    </row>
    <row r="664" spans="10:12" x14ac:dyDescent="0.3">
      <c r="J664" s="3" t="s">
        <v>1622</v>
      </c>
      <c r="K664" s="3" t="s">
        <v>498</v>
      </c>
      <c r="L664" t="s">
        <v>1623</v>
      </c>
    </row>
    <row r="665" spans="10:12" x14ac:dyDescent="0.3">
      <c r="J665" s="3" t="s">
        <v>1624</v>
      </c>
      <c r="K665" s="3" t="s">
        <v>498</v>
      </c>
      <c r="L665" t="s">
        <v>1625</v>
      </c>
    </row>
    <row r="666" spans="10:12" x14ac:dyDescent="0.3">
      <c r="J666" s="3" t="s">
        <v>1626</v>
      </c>
      <c r="K666" s="3" t="s">
        <v>498</v>
      </c>
      <c r="L666" t="s">
        <v>1627</v>
      </c>
    </row>
    <row r="667" spans="10:12" x14ac:dyDescent="0.3">
      <c r="J667" s="3" t="s">
        <v>1628</v>
      </c>
      <c r="K667" s="3" t="s">
        <v>498</v>
      </c>
      <c r="L667" t="s">
        <v>1629</v>
      </c>
    </row>
    <row r="668" spans="10:12" x14ac:dyDescent="0.3">
      <c r="J668" s="3" t="s">
        <v>1630</v>
      </c>
      <c r="K668" s="3" t="s">
        <v>498</v>
      </c>
      <c r="L668" t="s">
        <v>1631</v>
      </c>
    </row>
    <row r="669" spans="10:12" x14ac:dyDescent="0.3">
      <c r="J669" s="3" t="s">
        <v>1632</v>
      </c>
      <c r="K669" s="3" t="s">
        <v>498</v>
      </c>
      <c r="L669" t="s">
        <v>1633</v>
      </c>
    </row>
    <row r="670" spans="10:12" x14ac:dyDescent="0.3">
      <c r="J670" s="3" t="s">
        <v>1634</v>
      </c>
      <c r="K670" s="3" t="s">
        <v>498</v>
      </c>
      <c r="L670" t="s">
        <v>1635</v>
      </c>
    </row>
    <row r="671" spans="10:12" x14ac:dyDescent="0.3">
      <c r="J671" s="3" t="s">
        <v>1636</v>
      </c>
      <c r="K671" s="3" t="s">
        <v>498</v>
      </c>
      <c r="L671" t="s">
        <v>1637</v>
      </c>
    </row>
    <row r="672" spans="10:12" x14ac:dyDescent="0.3">
      <c r="J672" s="3" t="s">
        <v>1638</v>
      </c>
      <c r="K672" s="3" t="s">
        <v>498</v>
      </c>
      <c r="L672" t="s">
        <v>1639</v>
      </c>
    </row>
    <row r="673" spans="10:12" x14ac:dyDescent="0.3">
      <c r="J673" s="3" t="s">
        <v>1640</v>
      </c>
      <c r="K673" s="3" t="s">
        <v>498</v>
      </c>
      <c r="L673" t="s">
        <v>630</v>
      </c>
    </row>
    <row r="674" spans="10:12" x14ac:dyDescent="0.3">
      <c r="J674" s="3" t="s">
        <v>1641</v>
      </c>
      <c r="K674" s="3" t="s">
        <v>498</v>
      </c>
      <c r="L674" t="s">
        <v>1642</v>
      </c>
    </row>
    <row r="675" spans="10:12" x14ac:dyDescent="0.3">
      <c r="J675" s="3" t="s">
        <v>1643</v>
      </c>
      <c r="K675" s="3" t="s">
        <v>498</v>
      </c>
      <c r="L675" t="s">
        <v>1644</v>
      </c>
    </row>
    <row r="676" spans="10:12" x14ac:dyDescent="0.3">
      <c r="J676" s="3" t="s">
        <v>1645</v>
      </c>
      <c r="K676" s="3" t="s">
        <v>498</v>
      </c>
      <c r="L676" t="s">
        <v>1646</v>
      </c>
    </row>
    <row r="677" spans="10:12" x14ac:dyDescent="0.3">
      <c r="J677" s="3" t="s">
        <v>1647</v>
      </c>
      <c r="K677" s="3" t="s">
        <v>498</v>
      </c>
      <c r="L677" t="s">
        <v>1648</v>
      </c>
    </row>
    <row r="678" spans="10:12" x14ac:dyDescent="0.3">
      <c r="J678" s="3" t="s">
        <v>1649</v>
      </c>
      <c r="K678" s="3" t="s">
        <v>498</v>
      </c>
      <c r="L678" t="s">
        <v>1650</v>
      </c>
    </row>
    <row r="679" spans="10:12" x14ac:dyDescent="0.3">
      <c r="J679" s="3" t="s">
        <v>1651</v>
      </c>
      <c r="K679" s="3" t="s">
        <v>498</v>
      </c>
      <c r="L679" t="s">
        <v>1652</v>
      </c>
    </row>
    <row r="680" spans="10:12" x14ac:dyDescent="0.3">
      <c r="J680" s="3" t="s">
        <v>1653</v>
      </c>
      <c r="K680" s="3" t="s">
        <v>498</v>
      </c>
      <c r="L680" t="s">
        <v>1654</v>
      </c>
    </row>
    <row r="681" spans="10:12" x14ac:dyDescent="0.3">
      <c r="J681" s="3" t="s">
        <v>1655</v>
      </c>
      <c r="K681" s="3" t="s">
        <v>498</v>
      </c>
      <c r="L681" t="s">
        <v>1656</v>
      </c>
    </row>
    <row r="682" spans="10:12" x14ac:dyDescent="0.3">
      <c r="J682" s="3" t="s">
        <v>1657</v>
      </c>
      <c r="K682" s="3" t="s">
        <v>498</v>
      </c>
      <c r="L682" t="s">
        <v>1658</v>
      </c>
    </row>
    <row r="683" spans="10:12" x14ac:dyDescent="0.3">
      <c r="J683" s="3" t="s">
        <v>1659</v>
      </c>
      <c r="K683" s="3" t="s">
        <v>498</v>
      </c>
      <c r="L683" t="s">
        <v>1660</v>
      </c>
    </row>
    <row r="684" spans="10:12" x14ac:dyDescent="0.3">
      <c r="J684" s="3" t="s">
        <v>1661</v>
      </c>
      <c r="K684" s="3" t="s">
        <v>498</v>
      </c>
      <c r="L684" t="s">
        <v>522</v>
      </c>
    </row>
    <row r="685" spans="10:12" x14ac:dyDescent="0.3">
      <c r="J685" s="3" t="s">
        <v>1662</v>
      </c>
      <c r="K685" s="3" t="s">
        <v>498</v>
      </c>
      <c r="L685" t="s">
        <v>632</v>
      </c>
    </row>
    <row r="686" spans="10:12" x14ac:dyDescent="0.3">
      <c r="J686" s="3" t="s">
        <v>1663</v>
      </c>
      <c r="K686" s="3" t="s">
        <v>498</v>
      </c>
      <c r="L686" t="s">
        <v>1664</v>
      </c>
    </row>
    <row r="687" spans="10:12" x14ac:dyDescent="0.3">
      <c r="J687" s="3" t="s">
        <v>1665</v>
      </c>
      <c r="K687" s="3" t="s">
        <v>498</v>
      </c>
      <c r="L687" t="s">
        <v>1666</v>
      </c>
    </row>
    <row r="688" spans="10:12" x14ac:dyDescent="0.3">
      <c r="J688" s="3" t="s">
        <v>1667</v>
      </c>
      <c r="K688" s="3" t="s">
        <v>498</v>
      </c>
      <c r="L688" t="s">
        <v>1668</v>
      </c>
    </row>
    <row r="689" spans="10:12" x14ac:dyDescent="0.3">
      <c r="J689" s="3" t="s">
        <v>1669</v>
      </c>
      <c r="K689" s="3" t="s">
        <v>498</v>
      </c>
      <c r="L689" t="s">
        <v>1670</v>
      </c>
    </row>
    <row r="690" spans="10:12" x14ac:dyDescent="0.3">
      <c r="J690" s="3" t="s">
        <v>1671</v>
      </c>
      <c r="K690" s="3" t="s">
        <v>498</v>
      </c>
      <c r="L690" t="s">
        <v>1672</v>
      </c>
    </row>
    <row r="691" spans="10:12" x14ac:dyDescent="0.3">
      <c r="J691" s="3" t="s">
        <v>1673</v>
      </c>
      <c r="K691" s="3" t="s">
        <v>498</v>
      </c>
      <c r="L691" t="s">
        <v>1674</v>
      </c>
    </row>
    <row r="692" spans="10:12" x14ac:dyDescent="0.3">
      <c r="J692" s="3" t="s">
        <v>1675</v>
      </c>
      <c r="K692" s="3" t="s">
        <v>498</v>
      </c>
      <c r="L692" t="s">
        <v>1676</v>
      </c>
    </row>
    <row r="693" spans="10:12" x14ac:dyDescent="0.3">
      <c r="J693" s="3" t="s">
        <v>1677</v>
      </c>
      <c r="K693" s="3" t="s">
        <v>498</v>
      </c>
      <c r="L693" t="s">
        <v>1678</v>
      </c>
    </row>
    <row r="694" spans="10:12" x14ac:dyDescent="0.3">
      <c r="J694" s="3" t="s">
        <v>1679</v>
      </c>
      <c r="K694" s="3" t="s">
        <v>498</v>
      </c>
      <c r="L694" t="s">
        <v>1680</v>
      </c>
    </row>
    <row r="695" spans="10:12" x14ac:dyDescent="0.3">
      <c r="J695" s="3" t="s">
        <v>1681</v>
      </c>
      <c r="K695" s="3" t="s">
        <v>498</v>
      </c>
      <c r="L695" t="s">
        <v>1682</v>
      </c>
    </row>
    <row r="696" spans="10:12" x14ac:dyDescent="0.3">
      <c r="J696" s="3" t="s">
        <v>1683</v>
      </c>
      <c r="K696" s="3" t="s">
        <v>498</v>
      </c>
      <c r="L696" t="s">
        <v>634</v>
      </c>
    </row>
    <row r="697" spans="10:12" x14ac:dyDescent="0.3">
      <c r="J697" s="3" t="s">
        <v>1684</v>
      </c>
      <c r="K697" s="3" t="s">
        <v>498</v>
      </c>
      <c r="L697" t="s">
        <v>1685</v>
      </c>
    </row>
    <row r="698" spans="10:12" x14ac:dyDescent="0.3">
      <c r="J698" s="3" t="s">
        <v>1686</v>
      </c>
      <c r="K698" s="3" t="s">
        <v>498</v>
      </c>
      <c r="L698" t="s">
        <v>1687</v>
      </c>
    </row>
    <row r="699" spans="10:12" x14ac:dyDescent="0.3">
      <c r="J699" s="3" t="s">
        <v>1688</v>
      </c>
      <c r="K699" s="3" t="s">
        <v>498</v>
      </c>
      <c r="L699" t="s">
        <v>1689</v>
      </c>
    </row>
    <row r="700" spans="10:12" x14ac:dyDescent="0.3">
      <c r="J700" s="3" t="s">
        <v>1690</v>
      </c>
      <c r="K700" s="3" t="s">
        <v>498</v>
      </c>
      <c r="L700" t="s">
        <v>1691</v>
      </c>
    </row>
    <row r="701" spans="10:12" x14ac:dyDescent="0.3">
      <c r="J701" s="3" t="s">
        <v>1692</v>
      </c>
      <c r="K701" s="3" t="s">
        <v>498</v>
      </c>
      <c r="L701" t="s">
        <v>1693</v>
      </c>
    </row>
    <row r="702" spans="10:12" x14ac:dyDescent="0.3">
      <c r="J702" s="3" t="s">
        <v>1694</v>
      </c>
      <c r="K702" s="3" t="s">
        <v>498</v>
      </c>
      <c r="L702" t="s">
        <v>1695</v>
      </c>
    </row>
    <row r="703" spans="10:12" x14ac:dyDescent="0.3">
      <c r="J703" s="3" t="s">
        <v>1696</v>
      </c>
      <c r="K703" s="3" t="s">
        <v>498</v>
      </c>
      <c r="L703" t="s">
        <v>1697</v>
      </c>
    </row>
    <row r="704" spans="10:12" x14ac:dyDescent="0.3">
      <c r="J704" s="3" t="s">
        <v>1698</v>
      </c>
      <c r="K704" s="3" t="s">
        <v>498</v>
      </c>
      <c r="L704" t="s">
        <v>1699</v>
      </c>
    </row>
    <row r="705" spans="10:12" x14ac:dyDescent="0.3">
      <c r="J705" s="3" t="s">
        <v>1700</v>
      </c>
      <c r="K705" s="3" t="s">
        <v>498</v>
      </c>
      <c r="L705" t="s">
        <v>1701</v>
      </c>
    </row>
    <row r="706" spans="10:12" x14ac:dyDescent="0.3">
      <c r="J706" s="3" t="s">
        <v>1702</v>
      </c>
      <c r="K706" s="3" t="s">
        <v>498</v>
      </c>
      <c r="L706" t="s">
        <v>1703</v>
      </c>
    </row>
    <row r="707" spans="10:12" x14ac:dyDescent="0.3">
      <c r="J707" s="3" t="s">
        <v>1704</v>
      </c>
      <c r="K707" s="3" t="s">
        <v>498</v>
      </c>
      <c r="L707" t="s">
        <v>636</v>
      </c>
    </row>
    <row r="708" spans="10:12" x14ac:dyDescent="0.3">
      <c r="J708" s="3" t="s">
        <v>1705</v>
      </c>
      <c r="K708" s="3" t="s">
        <v>498</v>
      </c>
      <c r="L708" t="s">
        <v>1706</v>
      </c>
    </row>
    <row r="709" spans="10:12" x14ac:dyDescent="0.3">
      <c r="J709" s="3" t="s">
        <v>1707</v>
      </c>
      <c r="K709" s="3" t="s">
        <v>498</v>
      </c>
      <c r="L709" t="s">
        <v>1708</v>
      </c>
    </row>
    <row r="710" spans="10:12" x14ac:dyDescent="0.3">
      <c r="J710" s="3" t="s">
        <v>1709</v>
      </c>
      <c r="K710" s="3" t="s">
        <v>498</v>
      </c>
      <c r="L710" t="s">
        <v>1710</v>
      </c>
    </row>
    <row r="711" spans="10:12" x14ac:dyDescent="0.3">
      <c r="J711" s="3" t="s">
        <v>1711</v>
      </c>
      <c r="K711" s="3" t="s">
        <v>498</v>
      </c>
      <c r="L711" t="s">
        <v>1712</v>
      </c>
    </row>
    <row r="712" spans="10:12" x14ac:dyDescent="0.3">
      <c r="J712" s="3" t="s">
        <v>1713</v>
      </c>
      <c r="K712" s="3" t="s">
        <v>498</v>
      </c>
      <c r="L712" t="s">
        <v>1714</v>
      </c>
    </row>
    <row r="713" spans="10:12" x14ac:dyDescent="0.3">
      <c r="J713" s="3" t="s">
        <v>1715</v>
      </c>
      <c r="K713" s="3" t="s">
        <v>498</v>
      </c>
      <c r="L713" t="s">
        <v>1716</v>
      </c>
    </row>
    <row r="714" spans="10:12" x14ac:dyDescent="0.3">
      <c r="J714" s="3" t="s">
        <v>1717</v>
      </c>
      <c r="K714" s="3" t="s">
        <v>498</v>
      </c>
      <c r="L714" t="s">
        <v>1718</v>
      </c>
    </row>
    <row r="715" spans="10:12" x14ac:dyDescent="0.3">
      <c r="J715" s="3" t="s">
        <v>1719</v>
      </c>
      <c r="K715" s="3" t="s">
        <v>498</v>
      </c>
      <c r="L715" t="s">
        <v>1720</v>
      </c>
    </row>
    <row r="716" spans="10:12" x14ac:dyDescent="0.3">
      <c r="J716" s="3" t="s">
        <v>1721</v>
      </c>
      <c r="K716" s="3" t="s">
        <v>498</v>
      </c>
      <c r="L716" t="s">
        <v>1722</v>
      </c>
    </row>
    <row r="717" spans="10:12" x14ac:dyDescent="0.3">
      <c r="J717" s="3" t="s">
        <v>1723</v>
      </c>
      <c r="K717" s="3" t="s">
        <v>498</v>
      </c>
      <c r="L717" t="s">
        <v>1724</v>
      </c>
    </row>
    <row r="718" spans="10:12" x14ac:dyDescent="0.3">
      <c r="J718" s="3" t="s">
        <v>1725</v>
      </c>
      <c r="K718" s="3" t="s">
        <v>498</v>
      </c>
      <c r="L718" t="s">
        <v>638</v>
      </c>
    </row>
    <row r="719" spans="10:12" x14ac:dyDescent="0.3">
      <c r="J719" s="3" t="s">
        <v>1726</v>
      </c>
      <c r="K719" s="3" t="s">
        <v>498</v>
      </c>
      <c r="L719" t="s">
        <v>1727</v>
      </c>
    </row>
    <row r="720" spans="10:12" x14ac:dyDescent="0.3">
      <c r="J720" s="3" t="s">
        <v>1728</v>
      </c>
      <c r="K720" s="3" t="s">
        <v>498</v>
      </c>
      <c r="L720" t="s">
        <v>1729</v>
      </c>
    </row>
    <row r="721" spans="10:12" x14ac:dyDescent="0.3">
      <c r="J721" s="3" t="s">
        <v>1730</v>
      </c>
      <c r="K721" s="3" t="s">
        <v>498</v>
      </c>
      <c r="L721" t="s">
        <v>1731</v>
      </c>
    </row>
    <row r="722" spans="10:12" x14ac:dyDescent="0.3">
      <c r="J722" s="3" t="s">
        <v>1732</v>
      </c>
      <c r="K722" s="3" t="s">
        <v>498</v>
      </c>
      <c r="L722" t="s">
        <v>1733</v>
      </c>
    </row>
    <row r="723" spans="10:12" x14ac:dyDescent="0.3">
      <c r="J723" s="3" t="s">
        <v>1734</v>
      </c>
      <c r="K723" s="3" t="s">
        <v>498</v>
      </c>
      <c r="L723" t="s">
        <v>1735</v>
      </c>
    </row>
    <row r="724" spans="10:12" x14ac:dyDescent="0.3">
      <c r="J724" s="3" t="s">
        <v>1736</v>
      </c>
      <c r="K724" s="3" t="s">
        <v>498</v>
      </c>
      <c r="L724" t="s">
        <v>1737</v>
      </c>
    </row>
    <row r="725" spans="10:12" x14ac:dyDescent="0.3">
      <c r="J725" s="3" t="s">
        <v>1738</v>
      </c>
      <c r="K725" s="3" t="s">
        <v>498</v>
      </c>
      <c r="L725" t="s">
        <v>1739</v>
      </c>
    </row>
    <row r="726" spans="10:12" x14ac:dyDescent="0.3">
      <c r="J726" s="3" t="s">
        <v>1740</v>
      </c>
      <c r="K726" s="3" t="s">
        <v>498</v>
      </c>
      <c r="L726" t="s">
        <v>1741</v>
      </c>
    </row>
    <row r="727" spans="10:12" x14ac:dyDescent="0.3">
      <c r="J727" s="3" t="s">
        <v>1742</v>
      </c>
      <c r="K727" s="3" t="s">
        <v>498</v>
      </c>
      <c r="L727" t="s">
        <v>1743</v>
      </c>
    </row>
    <row r="728" spans="10:12" x14ac:dyDescent="0.3">
      <c r="J728" s="3" t="s">
        <v>1744</v>
      </c>
      <c r="K728" s="3" t="s">
        <v>498</v>
      </c>
      <c r="L728" t="s">
        <v>1745</v>
      </c>
    </row>
    <row r="729" spans="10:12" x14ac:dyDescent="0.3">
      <c r="J729" s="3" t="s">
        <v>1746</v>
      </c>
      <c r="K729" s="3" t="s">
        <v>498</v>
      </c>
      <c r="L729" t="s">
        <v>640</v>
      </c>
    </row>
    <row r="730" spans="10:12" x14ac:dyDescent="0.3">
      <c r="J730" s="3" t="s">
        <v>1747</v>
      </c>
      <c r="K730" s="3" t="s">
        <v>498</v>
      </c>
      <c r="L730" t="s">
        <v>1748</v>
      </c>
    </row>
    <row r="731" spans="10:12" x14ac:dyDescent="0.3">
      <c r="J731" s="3" t="s">
        <v>1749</v>
      </c>
      <c r="K731" s="3" t="s">
        <v>498</v>
      </c>
      <c r="L731" t="s">
        <v>1750</v>
      </c>
    </row>
    <row r="732" spans="10:12" x14ac:dyDescent="0.3">
      <c r="J732" s="3" t="s">
        <v>1751</v>
      </c>
      <c r="K732" s="3" t="s">
        <v>498</v>
      </c>
      <c r="L732" t="s">
        <v>1752</v>
      </c>
    </row>
    <row r="733" spans="10:12" x14ac:dyDescent="0.3">
      <c r="J733" s="3" t="s">
        <v>1753</v>
      </c>
      <c r="K733" s="3" t="s">
        <v>498</v>
      </c>
      <c r="L733" t="s">
        <v>1754</v>
      </c>
    </row>
    <row r="734" spans="10:12" x14ac:dyDescent="0.3">
      <c r="J734" s="3" t="s">
        <v>1755</v>
      </c>
      <c r="K734" s="3" t="s">
        <v>498</v>
      </c>
      <c r="L734" t="s">
        <v>1756</v>
      </c>
    </row>
    <row r="735" spans="10:12" x14ac:dyDescent="0.3">
      <c r="J735" s="3" t="s">
        <v>1757</v>
      </c>
      <c r="K735" s="3" t="s">
        <v>498</v>
      </c>
      <c r="L735" t="s">
        <v>1758</v>
      </c>
    </row>
    <row r="736" spans="10:12" x14ac:dyDescent="0.3">
      <c r="J736" s="3" t="s">
        <v>1759</v>
      </c>
      <c r="K736" s="3" t="s">
        <v>498</v>
      </c>
      <c r="L736" t="s">
        <v>1760</v>
      </c>
    </row>
    <row r="737" spans="10:12" x14ac:dyDescent="0.3">
      <c r="J737" s="3" t="s">
        <v>1761</v>
      </c>
      <c r="K737" s="3" t="s">
        <v>498</v>
      </c>
      <c r="L737" t="s">
        <v>1762</v>
      </c>
    </row>
    <row r="738" spans="10:12" x14ac:dyDescent="0.3">
      <c r="J738" s="3" t="s">
        <v>1763</v>
      </c>
      <c r="K738" s="3" t="s">
        <v>498</v>
      </c>
      <c r="L738" t="s">
        <v>1764</v>
      </c>
    </row>
    <row r="739" spans="10:12" x14ac:dyDescent="0.3">
      <c r="J739" s="3" t="s">
        <v>1765</v>
      </c>
      <c r="K739" s="3" t="s">
        <v>498</v>
      </c>
      <c r="L739" t="s">
        <v>1766</v>
      </c>
    </row>
    <row r="740" spans="10:12" x14ac:dyDescent="0.3">
      <c r="J740" s="3" t="s">
        <v>1767</v>
      </c>
      <c r="K740" s="3" t="s">
        <v>498</v>
      </c>
      <c r="L740" t="s">
        <v>642</v>
      </c>
    </row>
    <row r="741" spans="10:12" x14ac:dyDescent="0.3">
      <c r="J741" s="3" t="s">
        <v>1768</v>
      </c>
      <c r="K741" s="3" t="s">
        <v>498</v>
      </c>
      <c r="L741" t="s">
        <v>1769</v>
      </c>
    </row>
    <row r="742" spans="10:12" x14ac:dyDescent="0.3">
      <c r="J742" s="3" t="s">
        <v>1770</v>
      </c>
      <c r="K742" s="3" t="s">
        <v>498</v>
      </c>
      <c r="L742" t="s">
        <v>1771</v>
      </c>
    </row>
    <row r="743" spans="10:12" x14ac:dyDescent="0.3">
      <c r="J743" s="3" t="s">
        <v>1772</v>
      </c>
      <c r="K743" s="3" t="s">
        <v>498</v>
      </c>
      <c r="L743" t="s">
        <v>1773</v>
      </c>
    </row>
    <row r="744" spans="10:12" x14ac:dyDescent="0.3">
      <c r="J744" s="3" t="s">
        <v>1774</v>
      </c>
      <c r="K744" s="3" t="s">
        <v>498</v>
      </c>
      <c r="L744" t="s">
        <v>1775</v>
      </c>
    </row>
    <row r="745" spans="10:12" x14ac:dyDescent="0.3">
      <c r="J745" s="3" t="s">
        <v>1776</v>
      </c>
      <c r="K745" s="3" t="s">
        <v>498</v>
      </c>
      <c r="L745" t="s">
        <v>1777</v>
      </c>
    </row>
    <row r="746" spans="10:12" x14ac:dyDescent="0.3">
      <c r="J746" s="3" t="s">
        <v>1778</v>
      </c>
      <c r="K746" s="3" t="s">
        <v>498</v>
      </c>
      <c r="L746" t="s">
        <v>1779</v>
      </c>
    </row>
    <row r="747" spans="10:12" x14ac:dyDescent="0.3">
      <c r="J747" s="3" t="s">
        <v>1780</v>
      </c>
      <c r="K747" s="3" t="s">
        <v>498</v>
      </c>
      <c r="L747" t="s">
        <v>1781</v>
      </c>
    </row>
    <row r="748" spans="10:12" x14ac:dyDescent="0.3">
      <c r="J748" s="3" t="s">
        <v>1782</v>
      </c>
      <c r="K748" s="3" t="s">
        <v>498</v>
      </c>
      <c r="L748" t="s">
        <v>1783</v>
      </c>
    </row>
    <row r="749" spans="10:12" x14ac:dyDescent="0.3">
      <c r="J749" s="3" t="s">
        <v>1784</v>
      </c>
      <c r="K749" s="3" t="s">
        <v>498</v>
      </c>
      <c r="L749" t="s">
        <v>1785</v>
      </c>
    </row>
    <row r="750" spans="10:12" x14ac:dyDescent="0.3">
      <c r="J750" s="3" t="s">
        <v>1786</v>
      </c>
      <c r="K750" s="3" t="s">
        <v>498</v>
      </c>
      <c r="L750" t="s">
        <v>1787</v>
      </c>
    </row>
    <row r="751" spans="10:12" x14ac:dyDescent="0.3">
      <c r="J751" s="3" t="s">
        <v>1788</v>
      </c>
      <c r="K751" s="3" t="s">
        <v>498</v>
      </c>
      <c r="L751" t="s">
        <v>625</v>
      </c>
    </row>
    <row r="752" spans="10:12" x14ac:dyDescent="0.3">
      <c r="J752" s="3" t="s">
        <v>1789</v>
      </c>
      <c r="K752" s="3" t="s">
        <v>498</v>
      </c>
      <c r="L752" t="s">
        <v>1790</v>
      </c>
    </row>
    <row r="753" spans="10:12" x14ac:dyDescent="0.3">
      <c r="J753" s="3" t="s">
        <v>1791</v>
      </c>
      <c r="K753" s="3" t="s">
        <v>498</v>
      </c>
      <c r="L753" t="s">
        <v>1792</v>
      </c>
    </row>
    <row r="754" spans="10:12" x14ac:dyDescent="0.3">
      <c r="J754" s="3" t="s">
        <v>1793</v>
      </c>
      <c r="K754" s="3" t="s">
        <v>498</v>
      </c>
      <c r="L754" t="s">
        <v>1794</v>
      </c>
    </row>
    <row r="755" spans="10:12" x14ac:dyDescent="0.3">
      <c r="J755" s="3" t="s">
        <v>1795</v>
      </c>
      <c r="K755" s="3" t="s">
        <v>498</v>
      </c>
      <c r="L755" t="s">
        <v>1796</v>
      </c>
    </row>
    <row r="756" spans="10:12" x14ac:dyDescent="0.3">
      <c r="J756" s="3" t="s">
        <v>1797</v>
      </c>
      <c r="K756" s="3" t="s">
        <v>498</v>
      </c>
      <c r="L756" t="s">
        <v>1798</v>
      </c>
    </row>
    <row r="757" spans="10:12" x14ac:dyDescent="0.3">
      <c r="J757" s="3" t="s">
        <v>1799</v>
      </c>
      <c r="K757" s="3" t="s">
        <v>498</v>
      </c>
      <c r="L757" t="s">
        <v>1800</v>
      </c>
    </row>
    <row r="758" spans="10:12" x14ac:dyDescent="0.3">
      <c r="J758" s="3" t="s">
        <v>1801</v>
      </c>
      <c r="K758" s="3" t="s">
        <v>498</v>
      </c>
      <c r="L758" t="s">
        <v>1802</v>
      </c>
    </row>
    <row r="759" spans="10:12" x14ac:dyDescent="0.3">
      <c r="J759" s="3" t="s">
        <v>1803</v>
      </c>
      <c r="K759" s="3" t="s">
        <v>498</v>
      </c>
      <c r="L759" t="s">
        <v>1804</v>
      </c>
    </row>
    <row r="760" spans="10:12" x14ac:dyDescent="0.3">
      <c r="J760" s="3" t="s">
        <v>1805</v>
      </c>
      <c r="K760" s="3" t="s">
        <v>498</v>
      </c>
      <c r="L760" t="s">
        <v>1806</v>
      </c>
    </row>
    <row r="761" spans="10:12" x14ac:dyDescent="0.3">
      <c r="J761" s="3" t="s">
        <v>1807</v>
      </c>
      <c r="K761" s="3" t="s">
        <v>498</v>
      </c>
      <c r="L761" t="s">
        <v>1808</v>
      </c>
    </row>
    <row r="762" spans="10:12" x14ac:dyDescent="0.3">
      <c r="J762" s="3" t="s">
        <v>1809</v>
      </c>
      <c r="K762" s="3" t="s">
        <v>498</v>
      </c>
      <c r="L762" t="s">
        <v>645</v>
      </c>
    </row>
    <row r="763" spans="10:12" x14ac:dyDescent="0.3">
      <c r="J763" s="3" t="s">
        <v>1810</v>
      </c>
      <c r="K763" s="3" t="s">
        <v>498</v>
      </c>
      <c r="L763" t="s">
        <v>1811</v>
      </c>
    </row>
    <row r="764" spans="10:12" x14ac:dyDescent="0.3">
      <c r="J764" s="3" t="s">
        <v>1812</v>
      </c>
      <c r="K764" s="3" t="s">
        <v>498</v>
      </c>
      <c r="L764" t="s">
        <v>1813</v>
      </c>
    </row>
    <row r="765" spans="10:12" x14ac:dyDescent="0.3">
      <c r="J765" s="3" t="s">
        <v>1814</v>
      </c>
      <c r="K765" s="3" t="s">
        <v>498</v>
      </c>
      <c r="L765" t="s">
        <v>1815</v>
      </c>
    </row>
    <row r="766" spans="10:12" x14ac:dyDescent="0.3">
      <c r="J766" s="3" t="s">
        <v>1816</v>
      </c>
      <c r="K766" s="3" t="s">
        <v>498</v>
      </c>
      <c r="L766" t="s">
        <v>1817</v>
      </c>
    </row>
    <row r="767" spans="10:12" x14ac:dyDescent="0.3">
      <c r="J767" s="3" t="s">
        <v>1818</v>
      </c>
      <c r="K767" s="3" t="s">
        <v>498</v>
      </c>
      <c r="L767" t="s">
        <v>1819</v>
      </c>
    </row>
    <row r="768" spans="10:12" x14ac:dyDescent="0.3">
      <c r="J768" s="3" t="s">
        <v>1820</v>
      </c>
      <c r="K768" s="3" t="s">
        <v>498</v>
      </c>
      <c r="L768" t="s">
        <v>1821</v>
      </c>
    </row>
    <row r="769" spans="10:12" x14ac:dyDescent="0.3">
      <c r="J769" s="3" t="s">
        <v>1822</v>
      </c>
      <c r="K769" s="3" t="s">
        <v>498</v>
      </c>
      <c r="L769" t="s">
        <v>1823</v>
      </c>
    </row>
    <row r="770" spans="10:12" x14ac:dyDescent="0.3">
      <c r="J770" s="3" t="s">
        <v>1824</v>
      </c>
      <c r="K770" s="3" t="s">
        <v>498</v>
      </c>
      <c r="L770" t="s">
        <v>1825</v>
      </c>
    </row>
    <row r="771" spans="10:12" x14ac:dyDescent="0.3">
      <c r="J771" s="3" t="s">
        <v>1826</v>
      </c>
      <c r="K771" s="3" t="s">
        <v>498</v>
      </c>
      <c r="L771" t="s">
        <v>1827</v>
      </c>
    </row>
    <row r="772" spans="10:12" x14ac:dyDescent="0.3">
      <c r="J772" s="3" t="s">
        <v>1828</v>
      </c>
      <c r="K772" s="3" t="s">
        <v>498</v>
      </c>
      <c r="L772" t="s">
        <v>1829</v>
      </c>
    </row>
    <row r="773" spans="10:12" x14ac:dyDescent="0.3">
      <c r="J773" s="3" t="s">
        <v>1830</v>
      </c>
      <c r="K773" s="3" t="s">
        <v>498</v>
      </c>
      <c r="L773" t="s">
        <v>647</v>
      </c>
    </row>
    <row r="774" spans="10:12" x14ac:dyDescent="0.3">
      <c r="J774" s="3" t="s">
        <v>1831</v>
      </c>
      <c r="K774" s="3" t="s">
        <v>498</v>
      </c>
      <c r="L774" t="s">
        <v>1832</v>
      </c>
    </row>
    <row r="775" spans="10:12" x14ac:dyDescent="0.3">
      <c r="J775" s="3" t="s">
        <v>1833</v>
      </c>
      <c r="K775" s="3" t="s">
        <v>498</v>
      </c>
      <c r="L775" t="s">
        <v>1834</v>
      </c>
    </row>
    <row r="776" spans="10:12" x14ac:dyDescent="0.3">
      <c r="J776" s="3" t="s">
        <v>1835</v>
      </c>
      <c r="K776" s="3" t="s">
        <v>498</v>
      </c>
      <c r="L776" t="s">
        <v>1836</v>
      </c>
    </row>
    <row r="777" spans="10:12" x14ac:dyDescent="0.3">
      <c r="J777" s="3" t="s">
        <v>1837</v>
      </c>
      <c r="K777" s="3" t="s">
        <v>498</v>
      </c>
      <c r="L777" t="s">
        <v>1838</v>
      </c>
    </row>
    <row r="778" spans="10:12" x14ac:dyDescent="0.3">
      <c r="J778" s="3" t="s">
        <v>1839</v>
      </c>
      <c r="K778" s="3" t="s">
        <v>498</v>
      </c>
      <c r="L778" t="s">
        <v>1840</v>
      </c>
    </row>
    <row r="779" spans="10:12" x14ac:dyDescent="0.3">
      <c r="J779" s="3" t="s">
        <v>1841</v>
      </c>
      <c r="K779" s="3" t="s">
        <v>498</v>
      </c>
      <c r="L779" t="s">
        <v>1842</v>
      </c>
    </row>
    <row r="780" spans="10:12" x14ac:dyDescent="0.3">
      <c r="J780" s="3" t="s">
        <v>1843</v>
      </c>
      <c r="K780" s="3" t="s">
        <v>498</v>
      </c>
      <c r="L780" t="s">
        <v>1844</v>
      </c>
    </row>
    <row r="781" spans="10:12" x14ac:dyDescent="0.3">
      <c r="J781" s="3" t="s">
        <v>1845</v>
      </c>
      <c r="K781" s="3" t="s">
        <v>498</v>
      </c>
      <c r="L781" t="s">
        <v>1846</v>
      </c>
    </row>
    <row r="782" spans="10:12" x14ac:dyDescent="0.3">
      <c r="J782" s="3" t="s">
        <v>1847</v>
      </c>
      <c r="K782" s="3" t="s">
        <v>498</v>
      </c>
      <c r="L782" t="s">
        <v>1848</v>
      </c>
    </row>
    <row r="783" spans="10:12" x14ac:dyDescent="0.3">
      <c r="J783" s="3" t="s">
        <v>1849</v>
      </c>
      <c r="K783" s="3" t="s">
        <v>498</v>
      </c>
      <c r="L783" t="s">
        <v>1850</v>
      </c>
    </row>
    <row r="784" spans="10:12" x14ac:dyDescent="0.3">
      <c r="J784" s="3" t="s">
        <v>1851</v>
      </c>
      <c r="K784" s="3" t="s">
        <v>498</v>
      </c>
      <c r="L784" t="s">
        <v>524</v>
      </c>
    </row>
    <row r="785" spans="10:12" x14ac:dyDescent="0.3">
      <c r="J785" s="3" t="s">
        <v>1852</v>
      </c>
      <c r="K785" s="3" t="s">
        <v>498</v>
      </c>
      <c r="L785" t="s">
        <v>1853</v>
      </c>
    </row>
    <row r="786" spans="10:12" x14ac:dyDescent="0.3">
      <c r="J786" s="3" t="s">
        <v>1854</v>
      </c>
      <c r="K786" s="3" t="s">
        <v>498</v>
      </c>
      <c r="L786" t="s">
        <v>1855</v>
      </c>
    </row>
    <row r="787" spans="10:12" x14ac:dyDescent="0.3">
      <c r="J787" s="3" t="s">
        <v>1856</v>
      </c>
      <c r="K787" s="3" t="s">
        <v>498</v>
      </c>
      <c r="L787" t="s">
        <v>1857</v>
      </c>
    </row>
    <row r="788" spans="10:12" x14ac:dyDescent="0.3">
      <c r="J788" s="3" t="s">
        <v>1858</v>
      </c>
      <c r="K788" s="3" t="s">
        <v>498</v>
      </c>
      <c r="L788" t="s">
        <v>1859</v>
      </c>
    </row>
    <row r="789" spans="10:12" x14ac:dyDescent="0.3">
      <c r="J789" s="3" t="s">
        <v>1860</v>
      </c>
      <c r="K789" s="3" t="s">
        <v>498</v>
      </c>
      <c r="L789" t="s">
        <v>1861</v>
      </c>
    </row>
    <row r="790" spans="10:12" x14ac:dyDescent="0.3">
      <c r="J790" s="3" t="s">
        <v>1862</v>
      </c>
      <c r="K790" s="3" t="s">
        <v>498</v>
      </c>
      <c r="L790" t="s">
        <v>1863</v>
      </c>
    </row>
    <row r="791" spans="10:12" x14ac:dyDescent="0.3">
      <c r="J791" s="3" t="s">
        <v>1864</v>
      </c>
      <c r="K791" s="3" t="s">
        <v>498</v>
      </c>
      <c r="L791" t="s">
        <v>1865</v>
      </c>
    </row>
    <row r="792" spans="10:12" x14ac:dyDescent="0.3">
      <c r="J792" s="3" t="s">
        <v>1866</v>
      </c>
      <c r="K792" s="3" t="s">
        <v>498</v>
      </c>
      <c r="L792" t="s">
        <v>1867</v>
      </c>
    </row>
    <row r="793" spans="10:12" x14ac:dyDescent="0.3">
      <c r="J793" s="3" t="s">
        <v>1868</v>
      </c>
      <c r="K793" s="3" t="s">
        <v>498</v>
      </c>
      <c r="L793" t="s">
        <v>1869</v>
      </c>
    </row>
    <row r="794" spans="10:12" x14ac:dyDescent="0.3">
      <c r="J794" s="3" t="s">
        <v>1870</v>
      </c>
      <c r="K794" s="3" t="s">
        <v>498</v>
      </c>
      <c r="L794" t="s">
        <v>1871</v>
      </c>
    </row>
    <row r="795" spans="10:12" x14ac:dyDescent="0.3">
      <c r="J795" s="3" t="s">
        <v>1872</v>
      </c>
      <c r="K795" s="3" t="s">
        <v>498</v>
      </c>
      <c r="L795" t="s">
        <v>546</v>
      </c>
    </row>
    <row r="796" spans="10:12" x14ac:dyDescent="0.3">
      <c r="J796" s="3" t="s">
        <v>1873</v>
      </c>
      <c r="K796" s="3" t="s">
        <v>498</v>
      </c>
      <c r="L796" t="s">
        <v>1874</v>
      </c>
    </row>
    <row r="797" spans="10:12" x14ac:dyDescent="0.3">
      <c r="J797" s="3" t="s">
        <v>1875</v>
      </c>
      <c r="K797" s="3" t="s">
        <v>498</v>
      </c>
      <c r="L797" t="s">
        <v>1876</v>
      </c>
    </row>
    <row r="798" spans="10:12" x14ac:dyDescent="0.3">
      <c r="J798" s="3" t="s">
        <v>1877</v>
      </c>
      <c r="K798" s="3" t="s">
        <v>498</v>
      </c>
      <c r="L798" t="s">
        <v>1878</v>
      </c>
    </row>
    <row r="799" spans="10:12" x14ac:dyDescent="0.3">
      <c r="J799" s="3" t="s">
        <v>1879</v>
      </c>
      <c r="K799" s="3" t="s">
        <v>498</v>
      </c>
      <c r="L799" t="s">
        <v>1880</v>
      </c>
    </row>
    <row r="800" spans="10:12" x14ac:dyDescent="0.3">
      <c r="J800" s="3" t="s">
        <v>1881</v>
      </c>
      <c r="K800" s="3" t="s">
        <v>498</v>
      </c>
      <c r="L800" t="s">
        <v>1882</v>
      </c>
    </row>
    <row r="801" spans="10:12" x14ac:dyDescent="0.3">
      <c r="J801" s="3" t="s">
        <v>1883</v>
      </c>
      <c r="K801" s="3" t="s">
        <v>498</v>
      </c>
      <c r="L801" t="s">
        <v>1884</v>
      </c>
    </row>
    <row r="802" spans="10:12" x14ac:dyDescent="0.3">
      <c r="J802" s="3" t="s">
        <v>1885</v>
      </c>
      <c r="K802" s="3" t="s">
        <v>498</v>
      </c>
      <c r="L802" t="s">
        <v>1886</v>
      </c>
    </row>
    <row r="803" spans="10:12" x14ac:dyDescent="0.3">
      <c r="J803" s="3" t="s">
        <v>1887</v>
      </c>
      <c r="K803" s="3" t="s">
        <v>498</v>
      </c>
      <c r="L803" t="s">
        <v>1888</v>
      </c>
    </row>
    <row r="804" spans="10:12" x14ac:dyDescent="0.3">
      <c r="J804" s="3" t="s">
        <v>1889</v>
      </c>
      <c r="K804" s="3" t="s">
        <v>498</v>
      </c>
      <c r="L804" t="s">
        <v>1890</v>
      </c>
    </row>
    <row r="805" spans="10:12" x14ac:dyDescent="0.3">
      <c r="J805" s="3" t="s">
        <v>1891</v>
      </c>
      <c r="K805" s="3" t="s">
        <v>498</v>
      </c>
      <c r="L805" t="s">
        <v>1892</v>
      </c>
    </row>
    <row r="806" spans="10:12" x14ac:dyDescent="0.3">
      <c r="J806" s="3" t="s">
        <v>1893</v>
      </c>
      <c r="K806" s="3" t="s">
        <v>498</v>
      </c>
      <c r="L806" t="s">
        <v>568</v>
      </c>
    </row>
    <row r="807" spans="10:12" x14ac:dyDescent="0.3">
      <c r="J807" s="3" t="s">
        <v>1894</v>
      </c>
      <c r="K807" s="3" t="s">
        <v>498</v>
      </c>
      <c r="L807" t="s">
        <v>1895</v>
      </c>
    </row>
    <row r="808" spans="10:12" x14ac:dyDescent="0.3">
      <c r="J808" s="3" t="s">
        <v>1896</v>
      </c>
      <c r="K808" s="3" t="s">
        <v>498</v>
      </c>
      <c r="L808" t="s">
        <v>1897</v>
      </c>
    </row>
    <row r="809" spans="10:12" x14ac:dyDescent="0.3">
      <c r="J809" s="3" t="s">
        <v>1898</v>
      </c>
      <c r="K809" s="3" t="s">
        <v>498</v>
      </c>
      <c r="L809" t="s">
        <v>1899</v>
      </c>
    </row>
    <row r="810" spans="10:12" x14ac:dyDescent="0.3">
      <c r="J810" s="3" t="s">
        <v>1900</v>
      </c>
      <c r="K810" s="3" t="s">
        <v>498</v>
      </c>
      <c r="L810" t="s">
        <v>1901</v>
      </c>
    </row>
    <row r="811" spans="10:12" x14ac:dyDescent="0.3">
      <c r="J811" s="3" t="s">
        <v>1902</v>
      </c>
      <c r="K811" s="3" t="s">
        <v>498</v>
      </c>
      <c r="L811" t="s">
        <v>1903</v>
      </c>
    </row>
    <row r="812" spans="10:12" x14ac:dyDescent="0.3">
      <c r="J812" s="3" t="s">
        <v>1904</v>
      </c>
      <c r="K812" s="3" t="s">
        <v>498</v>
      </c>
      <c r="L812" t="s">
        <v>1905</v>
      </c>
    </row>
    <row r="813" spans="10:12" x14ac:dyDescent="0.3">
      <c r="J813" s="3" t="s">
        <v>1906</v>
      </c>
      <c r="K813" s="3" t="s">
        <v>498</v>
      </c>
      <c r="L813" t="s">
        <v>1907</v>
      </c>
    </row>
    <row r="814" spans="10:12" x14ac:dyDescent="0.3">
      <c r="J814" s="3" t="s">
        <v>1908</v>
      </c>
      <c r="K814" s="3" t="s">
        <v>498</v>
      </c>
      <c r="L814" t="s">
        <v>1909</v>
      </c>
    </row>
    <row r="815" spans="10:12" x14ac:dyDescent="0.3">
      <c r="J815" s="3" t="s">
        <v>1910</v>
      </c>
      <c r="K815" s="3" t="s">
        <v>498</v>
      </c>
      <c r="L815" t="s">
        <v>1911</v>
      </c>
    </row>
    <row r="816" spans="10:12" x14ac:dyDescent="0.3">
      <c r="J816" s="3" t="s">
        <v>1912</v>
      </c>
      <c r="K816" s="3" t="s">
        <v>498</v>
      </c>
      <c r="L816" t="s">
        <v>1913</v>
      </c>
    </row>
    <row r="817" spans="10:12" x14ac:dyDescent="0.3">
      <c r="J817" s="3" t="s">
        <v>1914</v>
      </c>
      <c r="K817" s="3" t="s">
        <v>498</v>
      </c>
      <c r="L817" t="s">
        <v>590</v>
      </c>
    </row>
    <row r="818" spans="10:12" x14ac:dyDescent="0.3">
      <c r="J818" s="3" t="s">
        <v>1915</v>
      </c>
      <c r="K818" s="3" t="s">
        <v>498</v>
      </c>
      <c r="L818" t="s">
        <v>1916</v>
      </c>
    </row>
    <row r="819" spans="10:12" x14ac:dyDescent="0.3">
      <c r="J819" s="3" t="s">
        <v>1917</v>
      </c>
      <c r="K819" s="3" t="s">
        <v>498</v>
      </c>
      <c r="L819" t="s">
        <v>1918</v>
      </c>
    </row>
    <row r="820" spans="10:12" x14ac:dyDescent="0.3">
      <c r="J820" s="3" t="s">
        <v>1919</v>
      </c>
      <c r="K820" s="3" t="s">
        <v>498</v>
      </c>
      <c r="L820" t="s">
        <v>1920</v>
      </c>
    </row>
    <row r="821" spans="10:12" x14ac:dyDescent="0.3">
      <c r="J821" s="3" t="s">
        <v>1921</v>
      </c>
      <c r="K821" s="3" t="s">
        <v>498</v>
      </c>
      <c r="L821" t="s">
        <v>1922</v>
      </c>
    </row>
    <row r="822" spans="10:12" x14ac:dyDescent="0.3">
      <c r="J822" s="3" t="s">
        <v>1923</v>
      </c>
      <c r="K822" s="3" t="s">
        <v>498</v>
      </c>
      <c r="L822" t="s">
        <v>1924</v>
      </c>
    </row>
    <row r="823" spans="10:12" x14ac:dyDescent="0.3">
      <c r="J823" s="3" t="s">
        <v>1925</v>
      </c>
      <c r="K823" s="3" t="s">
        <v>498</v>
      </c>
      <c r="L823" t="s">
        <v>1926</v>
      </c>
    </row>
    <row r="824" spans="10:12" x14ac:dyDescent="0.3">
      <c r="J824" s="3" t="s">
        <v>1927</v>
      </c>
      <c r="K824" s="3" t="s">
        <v>498</v>
      </c>
      <c r="L824" t="s">
        <v>1928</v>
      </c>
    </row>
    <row r="825" spans="10:12" x14ac:dyDescent="0.3">
      <c r="J825" s="3" t="s">
        <v>1929</v>
      </c>
      <c r="K825" s="3" t="s">
        <v>498</v>
      </c>
      <c r="L825" t="s">
        <v>1930</v>
      </c>
    </row>
    <row r="826" spans="10:12" x14ac:dyDescent="0.3">
      <c r="J826" s="3" t="s">
        <v>1931</v>
      </c>
      <c r="K826" s="3" t="s">
        <v>498</v>
      </c>
      <c r="L826" t="s">
        <v>1932</v>
      </c>
    </row>
    <row r="827" spans="10:12" x14ac:dyDescent="0.3">
      <c r="J827" s="3" t="s">
        <v>1933</v>
      </c>
      <c r="K827" s="3" t="s">
        <v>498</v>
      </c>
      <c r="L827" t="s">
        <v>1934</v>
      </c>
    </row>
    <row r="828" spans="10:12" x14ac:dyDescent="0.3">
      <c r="J828" s="3" t="s">
        <v>1935</v>
      </c>
      <c r="K828" s="3" t="s">
        <v>498</v>
      </c>
      <c r="L828" t="s">
        <v>611</v>
      </c>
    </row>
    <row r="829" spans="10:12" x14ac:dyDescent="0.3">
      <c r="J829" s="3" t="s">
        <v>1936</v>
      </c>
      <c r="K829" s="3" t="s">
        <v>498</v>
      </c>
      <c r="L829" t="s">
        <v>1937</v>
      </c>
    </row>
    <row r="830" spans="10:12" x14ac:dyDescent="0.3">
      <c r="J830" s="3" t="s">
        <v>1938</v>
      </c>
      <c r="K830" s="3" t="s">
        <v>498</v>
      </c>
      <c r="L830" t="s">
        <v>1939</v>
      </c>
    </row>
    <row r="831" spans="10:12" x14ac:dyDescent="0.3">
      <c r="J831" s="3" t="s">
        <v>1940</v>
      </c>
      <c r="K831" s="3" t="s">
        <v>498</v>
      </c>
      <c r="L831" t="s">
        <v>1941</v>
      </c>
    </row>
    <row r="832" spans="10:12" x14ac:dyDescent="0.3">
      <c r="J832" s="3" t="s">
        <v>1942</v>
      </c>
      <c r="K832" s="3" t="s">
        <v>498</v>
      </c>
      <c r="L832" t="s">
        <v>1943</v>
      </c>
    </row>
    <row r="833" spans="10:12" x14ac:dyDescent="0.3">
      <c r="J833" s="3" t="s">
        <v>1944</v>
      </c>
      <c r="K833" s="3" t="s">
        <v>498</v>
      </c>
      <c r="L833" t="s">
        <v>1945</v>
      </c>
    </row>
    <row r="834" spans="10:12" x14ac:dyDescent="0.3">
      <c r="J834" s="3" t="s">
        <v>1946</v>
      </c>
      <c r="K834" s="3" t="s">
        <v>498</v>
      </c>
      <c r="L834" t="s">
        <v>1947</v>
      </c>
    </row>
    <row r="835" spans="10:12" x14ac:dyDescent="0.3">
      <c r="J835" s="3" t="s">
        <v>1948</v>
      </c>
      <c r="K835" s="3" t="s">
        <v>498</v>
      </c>
      <c r="L835" t="s">
        <v>1949</v>
      </c>
    </row>
    <row r="836" spans="10:12" x14ac:dyDescent="0.3">
      <c r="J836" s="3" t="s">
        <v>1950</v>
      </c>
      <c r="K836" s="3" t="s">
        <v>498</v>
      </c>
      <c r="L836" t="s">
        <v>1951</v>
      </c>
    </row>
    <row r="837" spans="10:12" x14ac:dyDescent="0.3">
      <c r="J837" s="3" t="s">
        <v>1952</v>
      </c>
      <c r="K837" s="3" t="s">
        <v>498</v>
      </c>
      <c r="L837" t="s">
        <v>1953</v>
      </c>
    </row>
    <row r="838" spans="10:12" x14ac:dyDescent="0.3">
      <c r="J838" s="3" t="s">
        <v>1954</v>
      </c>
      <c r="K838" s="3" t="s">
        <v>498</v>
      </c>
      <c r="L838" t="s">
        <v>1955</v>
      </c>
    </row>
    <row r="839" spans="10:12" x14ac:dyDescent="0.3">
      <c r="J839" s="3" t="s">
        <v>1956</v>
      </c>
      <c r="K839" s="3" t="s">
        <v>498</v>
      </c>
      <c r="L839" t="s">
        <v>616</v>
      </c>
    </row>
    <row r="840" spans="10:12" x14ac:dyDescent="0.3">
      <c r="J840" s="3" t="s">
        <v>1957</v>
      </c>
      <c r="K840" s="3" t="s">
        <v>498</v>
      </c>
      <c r="L840" t="s">
        <v>1958</v>
      </c>
    </row>
    <row r="841" spans="10:12" x14ac:dyDescent="0.3">
      <c r="J841" s="3" t="s">
        <v>1959</v>
      </c>
      <c r="K841" s="3" t="s">
        <v>498</v>
      </c>
      <c r="L841" t="s">
        <v>1960</v>
      </c>
    </row>
    <row r="842" spans="10:12" x14ac:dyDescent="0.3">
      <c r="J842" s="3" t="s">
        <v>1961</v>
      </c>
      <c r="K842" s="3" t="s">
        <v>498</v>
      </c>
      <c r="L842" t="s">
        <v>1962</v>
      </c>
    </row>
    <row r="843" spans="10:12" x14ac:dyDescent="0.3">
      <c r="J843" s="3" t="s">
        <v>1963</v>
      </c>
      <c r="K843" s="3" t="s">
        <v>498</v>
      </c>
      <c r="L843" t="s">
        <v>1964</v>
      </c>
    </row>
    <row r="844" spans="10:12" x14ac:dyDescent="0.3">
      <c r="J844" s="3" t="s">
        <v>1965</v>
      </c>
      <c r="K844" s="3" t="s">
        <v>498</v>
      </c>
      <c r="L844" t="s">
        <v>1966</v>
      </c>
    </row>
    <row r="845" spans="10:12" x14ac:dyDescent="0.3">
      <c r="J845" s="3" t="s">
        <v>1967</v>
      </c>
      <c r="K845" s="3" t="s">
        <v>498</v>
      </c>
      <c r="L845" t="s">
        <v>1968</v>
      </c>
    </row>
    <row r="846" spans="10:12" x14ac:dyDescent="0.3">
      <c r="J846" s="3" t="s">
        <v>1969</v>
      </c>
      <c r="K846" s="3" t="s">
        <v>498</v>
      </c>
      <c r="L846" t="s">
        <v>1970</v>
      </c>
    </row>
    <row r="847" spans="10:12" x14ac:dyDescent="0.3">
      <c r="J847" s="3" t="s">
        <v>1971</v>
      </c>
      <c r="K847" s="3" t="s">
        <v>498</v>
      </c>
      <c r="L847" t="s">
        <v>1972</v>
      </c>
    </row>
    <row r="848" spans="10:12" x14ac:dyDescent="0.3">
      <c r="J848" s="3" t="s">
        <v>1973</v>
      </c>
      <c r="K848" s="3" t="s">
        <v>498</v>
      </c>
      <c r="L848" t="s">
        <v>1974</v>
      </c>
    </row>
    <row r="849" spans="10:12" x14ac:dyDescent="0.3">
      <c r="J849" s="3" t="s">
        <v>1975</v>
      </c>
      <c r="K849" s="3" t="s">
        <v>498</v>
      </c>
      <c r="L849" t="s">
        <v>1976</v>
      </c>
    </row>
    <row r="850" spans="10:12" x14ac:dyDescent="0.3">
      <c r="J850" s="3" t="s">
        <v>1977</v>
      </c>
      <c r="K850" s="3" t="s">
        <v>498</v>
      </c>
      <c r="L850" t="s">
        <v>618</v>
      </c>
    </row>
    <row r="851" spans="10:12" x14ac:dyDescent="0.3">
      <c r="J851" s="3" t="s">
        <v>1978</v>
      </c>
      <c r="K851" s="3" t="s">
        <v>498</v>
      </c>
      <c r="L851" t="s">
        <v>1979</v>
      </c>
    </row>
    <row r="852" spans="10:12" x14ac:dyDescent="0.3">
      <c r="J852" s="3" t="s">
        <v>1980</v>
      </c>
      <c r="K852" s="3" t="s">
        <v>498</v>
      </c>
      <c r="L852" t="s">
        <v>1981</v>
      </c>
    </row>
    <row r="853" spans="10:12" x14ac:dyDescent="0.3">
      <c r="J853" s="3" t="s">
        <v>1982</v>
      </c>
      <c r="K853" s="3" t="s">
        <v>498</v>
      </c>
      <c r="L853" t="s">
        <v>1983</v>
      </c>
    </row>
    <row r="854" spans="10:12" x14ac:dyDescent="0.3">
      <c r="J854" s="3" t="s">
        <v>1984</v>
      </c>
      <c r="K854" s="3" t="s">
        <v>498</v>
      </c>
      <c r="L854" t="s">
        <v>1985</v>
      </c>
    </row>
    <row r="855" spans="10:12" x14ac:dyDescent="0.3">
      <c r="J855" s="3" t="s">
        <v>1986</v>
      </c>
      <c r="K855" s="3" t="s">
        <v>498</v>
      </c>
      <c r="L855" t="s">
        <v>1987</v>
      </c>
    </row>
    <row r="856" spans="10:12" x14ac:dyDescent="0.3">
      <c r="J856" s="3" t="s">
        <v>1988</v>
      </c>
      <c r="K856" s="3" t="s">
        <v>498</v>
      </c>
      <c r="L856" t="s">
        <v>1989</v>
      </c>
    </row>
    <row r="857" spans="10:12" x14ac:dyDescent="0.3">
      <c r="J857" s="3" t="s">
        <v>1990</v>
      </c>
      <c r="K857" s="3" t="s">
        <v>498</v>
      </c>
      <c r="L857" t="s">
        <v>1991</v>
      </c>
    </row>
    <row r="858" spans="10:12" x14ac:dyDescent="0.3">
      <c r="J858" s="3" t="s">
        <v>1992</v>
      </c>
      <c r="K858" s="3" t="s">
        <v>498</v>
      </c>
      <c r="L858" t="s">
        <v>1993</v>
      </c>
    </row>
    <row r="859" spans="10:12" x14ac:dyDescent="0.3">
      <c r="J859" s="3" t="s">
        <v>1994</v>
      </c>
      <c r="K859" s="3" t="s">
        <v>498</v>
      </c>
      <c r="L859" t="s">
        <v>1995</v>
      </c>
    </row>
    <row r="860" spans="10:12" x14ac:dyDescent="0.3">
      <c r="J860" s="3" t="s">
        <v>1996</v>
      </c>
      <c r="K860" s="3" t="s">
        <v>498</v>
      </c>
      <c r="L860" t="s">
        <v>1997</v>
      </c>
    </row>
    <row r="861" spans="10:12" x14ac:dyDescent="0.3">
      <c r="J861" s="3" t="s">
        <v>1998</v>
      </c>
      <c r="K861" s="3" t="s">
        <v>498</v>
      </c>
      <c r="L861" t="s">
        <v>620</v>
      </c>
    </row>
    <row r="862" spans="10:12" x14ac:dyDescent="0.3">
      <c r="J862" s="3" t="s">
        <v>1999</v>
      </c>
      <c r="K862" s="3" t="s">
        <v>498</v>
      </c>
      <c r="L862" t="s">
        <v>2000</v>
      </c>
    </row>
    <row r="863" spans="10:12" x14ac:dyDescent="0.3">
      <c r="J863" s="3" t="s">
        <v>2001</v>
      </c>
      <c r="K863" s="3" t="s">
        <v>498</v>
      </c>
      <c r="L863" t="s">
        <v>2002</v>
      </c>
    </row>
    <row r="864" spans="10:12" x14ac:dyDescent="0.3">
      <c r="J864" s="3" t="s">
        <v>2003</v>
      </c>
      <c r="K864" s="3" t="s">
        <v>498</v>
      </c>
      <c r="L864" t="s">
        <v>2004</v>
      </c>
    </row>
    <row r="865" spans="10:12" x14ac:dyDescent="0.3">
      <c r="J865" s="3" t="s">
        <v>2005</v>
      </c>
      <c r="K865" s="3" t="s">
        <v>498</v>
      </c>
      <c r="L865" t="s">
        <v>2006</v>
      </c>
    </row>
    <row r="866" spans="10:12" x14ac:dyDescent="0.3">
      <c r="J866" s="3" t="s">
        <v>2007</v>
      </c>
      <c r="K866" s="3" t="s">
        <v>498</v>
      </c>
      <c r="L866" t="s">
        <v>2008</v>
      </c>
    </row>
    <row r="867" spans="10:12" x14ac:dyDescent="0.3">
      <c r="J867" s="3" t="s">
        <v>2009</v>
      </c>
      <c r="K867" s="3" t="s">
        <v>498</v>
      </c>
      <c r="L867" t="s">
        <v>2010</v>
      </c>
    </row>
    <row r="868" spans="10:12" x14ac:dyDescent="0.3">
      <c r="J868" s="3" t="s">
        <v>2011</v>
      </c>
      <c r="K868" s="3" t="s">
        <v>498</v>
      </c>
      <c r="L868" t="s">
        <v>2012</v>
      </c>
    </row>
    <row r="869" spans="10:12" x14ac:dyDescent="0.3">
      <c r="J869" s="3" t="s">
        <v>2013</v>
      </c>
      <c r="K869" s="3" t="s">
        <v>498</v>
      </c>
      <c r="L869" t="s">
        <v>2014</v>
      </c>
    </row>
    <row r="870" spans="10:12" x14ac:dyDescent="0.3">
      <c r="J870" s="3" t="s">
        <v>2015</v>
      </c>
      <c r="K870" s="3" t="s">
        <v>498</v>
      </c>
      <c r="L870" t="s">
        <v>2016</v>
      </c>
    </row>
    <row r="871" spans="10:12" x14ac:dyDescent="0.3">
      <c r="J871" s="3" t="s">
        <v>2017</v>
      </c>
      <c r="K871" s="3" t="s">
        <v>498</v>
      </c>
      <c r="L871" t="s">
        <v>2018</v>
      </c>
    </row>
    <row r="872" spans="10:12" x14ac:dyDescent="0.3">
      <c r="J872" s="3" t="s">
        <v>2019</v>
      </c>
      <c r="K872" s="3" t="s">
        <v>498</v>
      </c>
      <c r="L872" t="s">
        <v>622</v>
      </c>
    </row>
    <row r="873" spans="10:12" x14ac:dyDescent="0.3">
      <c r="J873" s="3" t="s">
        <v>2020</v>
      </c>
      <c r="K873" s="3" t="s">
        <v>498</v>
      </c>
      <c r="L873" t="s">
        <v>2021</v>
      </c>
    </row>
    <row r="874" spans="10:12" x14ac:dyDescent="0.3">
      <c r="J874" s="3" t="s">
        <v>2022</v>
      </c>
      <c r="K874" s="3" t="s">
        <v>498</v>
      </c>
      <c r="L874" t="s">
        <v>2023</v>
      </c>
    </row>
    <row r="875" spans="10:12" x14ac:dyDescent="0.3">
      <c r="J875" s="3" t="s">
        <v>2024</v>
      </c>
      <c r="K875" s="3" t="s">
        <v>498</v>
      </c>
      <c r="L875" t="s">
        <v>2025</v>
      </c>
    </row>
    <row r="876" spans="10:12" x14ac:dyDescent="0.3">
      <c r="J876" s="3" t="s">
        <v>2026</v>
      </c>
      <c r="K876" s="3" t="s">
        <v>498</v>
      </c>
      <c r="L876" t="s">
        <v>2027</v>
      </c>
    </row>
    <row r="877" spans="10:12" x14ac:dyDescent="0.3">
      <c r="J877" s="3" t="s">
        <v>2028</v>
      </c>
      <c r="K877" s="3" t="s">
        <v>498</v>
      </c>
      <c r="L877" t="s">
        <v>2029</v>
      </c>
    </row>
    <row r="878" spans="10:12" x14ac:dyDescent="0.3">
      <c r="J878" s="3" t="s">
        <v>2030</v>
      </c>
      <c r="K878" s="3" t="s">
        <v>498</v>
      </c>
      <c r="L878" t="s">
        <v>2031</v>
      </c>
    </row>
    <row r="879" spans="10:12" x14ac:dyDescent="0.3">
      <c r="J879" s="3" t="s">
        <v>2032</v>
      </c>
      <c r="K879" s="3" t="s">
        <v>498</v>
      </c>
      <c r="L879" t="s">
        <v>2033</v>
      </c>
    </row>
    <row r="880" spans="10:12" x14ac:dyDescent="0.3">
      <c r="J880" s="3" t="s">
        <v>2034</v>
      </c>
      <c r="K880" s="3" t="s">
        <v>498</v>
      </c>
      <c r="L880" t="s">
        <v>2035</v>
      </c>
    </row>
    <row r="881" spans="10:12" x14ac:dyDescent="0.3">
      <c r="J881" s="3" t="s">
        <v>2036</v>
      </c>
      <c r="K881" s="3" t="s">
        <v>498</v>
      </c>
      <c r="L881" t="s">
        <v>2037</v>
      </c>
    </row>
    <row r="882" spans="10:12" x14ac:dyDescent="0.3">
      <c r="J882" s="3" t="s">
        <v>2038</v>
      </c>
      <c r="K882" s="3" t="s">
        <v>498</v>
      </c>
      <c r="L882" t="s">
        <v>2039</v>
      </c>
    </row>
    <row r="883" spans="10:12" x14ac:dyDescent="0.3">
      <c r="J883" s="3" t="s">
        <v>2040</v>
      </c>
      <c r="K883" s="3" t="s">
        <v>498</v>
      </c>
      <c r="L883" t="s">
        <v>522</v>
      </c>
    </row>
    <row r="884" spans="10:12" x14ac:dyDescent="0.3">
      <c r="J884" s="3" t="s">
        <v>2041</v>
      </c>
      <c r="K884" s="3" t="s">
        <v>498</v>
      </c>
      <c r="L884" t="s">
        <v>2042</v>
      </c>
    </row>
    <row r="885" spans="10:12" x14ac:dyDescent="0.3">
      <c r="J885" s="3" t="s">
        <v>2043</v>
      </c>
      <c r="K885" s="3" t="s">
        <v>498</v>
      </c>
      <c r="L885" t="s">
        <v>2044</v>
      </c>
    </row>
    <row r="886" spans="10:12" x14ac:dyDescent="0.3">
      <c r="J886" s="3" t="s">
        <v>2045</v>
      </c>
      <c r="K886" s="3" t="s">
        <v>498</v>
      </c>
      <c r="L886" t="s">
        <v>2046</v>
      </c>
    </row>
    <row r="887" spans="10:12" x14ac:dyDescent="0.3">
      <c r="J887" s="3" t="s">
        <v>2047</v>
      </c>
      <c r="K887" s="3" t="s">
        <v>498</v>
      </c>
      <c r="L887" t="s">
        <v>2048</v>
      </c>
    </row>
    <row r="888" spans="10:12" x14ac:dyDescent="0.3">
      <c r="J888" s="3" t="s">
        <v>2049</v>
      </c>
      <c r="K888" s="3" t="s">
        <v>498</v>
      </c>
      <c r="L888" t="s">
        <v>2048</v>
      </c>
    </row>
    <row r="889" spans="10:12" x14ac:dyDescent="0.3">
      <c r="J889" s="3" t="s">
        <v>2050</v>
      </c>
      <c r="K889" s="3" t="s">
        <v>498</v>
      </c>
      <c r="L889" t="s">
        <v>2048</v>
      </c>
    </row>
    <row r="890" spans="10:12" x14ac:dyDescent="0.3">
      <c r="J890" s="3" t="s">
        <v>2051</v>
      </c>
      <c r="K890" s="3" t="s">
        <v>498</v>
      </c>
      <c r="L890" t="s">
        <v>2052</v>
      </c>
    </row>
    <row r="891" spans="10:12" x14ac:dyDescent="0.3">
      <c r="J891" s="3" t="s">
        <v>2053</v>
      </c>
      <c r="K891" s="3" t="s">
        <v>498</v>
      </c>
      <c r="L891" t="s">
        <v>2054</v>
      </c>
    </row>
    <row r="892" spans="10:12" x14ac:dyDescent="0.3">
      <c r="J892" s="3" t="s">
        <v>2055</v>
      </c>
      <c r="K892" s="3" t="s">
        <v>498</v>
      </c>
      <c r="L892" t="s">
        <v>2056</v>
      </c>
    </row>
    <row r="893" spans="10:12" x14ac:dyDescent="0.3">
      <c r="J893" s="3" t="s">
        <v>2057</v>
      </c>
      <c r="K893" s="3" t="s">
        <v>498</v>
      </c>
      <c r="L893" t="s">
        <v>2058</v>
      </c>
    </row>
    <row r="894" spans="10:12" x14ac:dyDescent="0.3">
      <c r="J894" s="3" t="s">
        <v>2059</v>
      </c>
      <c r="K894" s="3" t="s">
        <v>498</v>
      </c>
      <c r="L894" t="s">
        <v>628</v>
      </c>
    </row>
    <row r="895" spans="10:12" x14ac:dyDescent="0.3">
      <c r="J895" s="3" t="s">
        <v>2060</v>
      </c>
      <c r="K895" s="3" t="s">
        <v>498</v>
      </c>
      <c r="L895" t="s">
        <v>2061</v>
      </c>
    </row>
    <row r="896" spans="10:12" x14ac:dyDescent="0.3">
      <c r="J896" s="3" t="s">
        <v>2062</v>
      </c>
      <c r="K896" s="3" t="s">
        <v>498</v>
      </c>
      <c r="L896" t="s">
        <v>2063</v>
      </c>
    </row>
    <row r="897" spans="10:12" x14ac:dyDescent="0.3">
      <c r="J897" s="3" t="s">
        <v>2064</v>
      </c>
      <c r="K897" s="3" t="s">
        <v>498</v>
      </c>
      <c r="L897" t="s">
        <v>2065</v>
      </c>
    </row>
    <row r="898" spans="10:12" x14ac:dyDescent="0.3">
      <c r="J898" s="3" t="s">
        <v>2066</v>
      </c>
      <c r="K898" s="3" t="s">
        <v>498</v>
      </c>
      <c r="L898" t="s">
        <v>2067</v>
      </c>
    </row>
    <row r="899" spans="10:12" x14ac:dyDescent="0.3">
      <c r="J899" s="3" t="s">
        <v>2068</v>
      </c>
      <c r="K899" s="3" t="s">
        <v>498</v>
      </c>
      <c r="L899" t="s">
        <v>2069</v>
      </c>
    </row>
    <row r="900" spans="10:12" x14ac:dyDescent="0.3">
      <c r="J900" s="3" t="s">
        <v>2070</v>
      </c>
      <c r="K900" s="3" t="s">
        <v>498</v>
      </c>
      <c r="L900" t="s">
        <v>2071</v>
      </c>
    </row>
    <row r="901" spans="10:12" x14ac:dyDescent="0.3">
      <c r="J901" s="3" t="s">
        <v>2072</v>
      </c>
      <c r="K901" s="3" t="s">
        <v>498</v>
      </c>
      <c r="L901" t="s">
        <v>2073</v>
      </c>
    </row>
    <row r="902" spans="10:12" x14ac:dyDescent="0.3">
      <c r="J902" s="3" t="s">
        <v>2074</v>
      </c>
      <c r="K902" s="3" t="s">
        <v>498</v>
      </c>
      <c r="L902" t="s">
        <v>2075</v>
      </c>
    </row>
    <row r="903" spans="10:12" x14ac:dyDescent="0.3">
      <c r="J903" s="3" t="s">
        <v>2076</v>
      </c>
      <c r="K903" s="3" t="s">
        <v>498</v>
      </c>
      <c r="L903" t="s">
        <v>2077</v>
      </c>
    </row>
    <row r="904" spans="10:12" x14ac:dyDescent="0.3">
      <c r="J904" s="3" t="s">
        <v>2078</v>
      </c>
      <c r="K904" s="3" t="s">
        <v>498</v>
      </c>
      <c r="L904" t="s">
        <v>2079</v>
      </c>
    </row>
    <row r="905" spans="10:12" x14ac:dyDescent="0.3">
      <c r="J905" s="3" t="s">
        <v>2080</v>
      </c>
      <c r="K905" s="3" t="s">
        <v>498</v>
      </c>
      <c r="L905" t="s">
        <v>522</v>
      </c>
    </row>
    <row r="906" spans="10:12" x14ac:dyDescent="0.3">
      <c r="J906" s="3" t="s">
        <v>2081</v>
      </c>
      <c r="K906" s="3" t="s">
        <v>498</v>
      </c>
      <c r="L906" t="s">
        <v>630</v>
      </c>
    </row>
    <row r="907" spans="10:12" x14ac:dyDescent="0.3">
      <c r="J907" s="3" t="s">
        <v>2082</v>
      </c>
      <c r="K907" s="3" t="s">
        <v>498</v>
      </c>
      <c r="L907" t="s">
        <v>2083</v>
      </c>
    </row>
    <row r="908" spans="10:12" x14ac:dyDescent="0.3">
      <c r="J908" s="3" t="s">
        <v>2084</v>
      </c>
      <c r="K908" s="3" t="s">
        <v>498</v>
      </c>
      <c r="L908" t="s">
        <v>2085</v>
      </c>
    </row>
    <row r="909" spans="10:12" x14ac:dyDescent="0.3">
      <c r="J909" s="3" t="s">
        <v>2086</v>
      </c>
      <c r="K909" s="3" t="s">
        <v>498</v>
      </c>
      <c r="L909" t="s">
        <v>2087</v>
      </c>
    </row>
    <row r="910" spans="10:12" x14ac:dyDescent="0.3">
      <c r="J910" s="3" t="s">
        <v>2088</v>
      </c>
      <c r="K910" s="3" t="s">
        <v>498</v>
      </c>
      <c r="L910" t="s">
        <v>2089</v>
      </c>
    </row>
    <row r="911" spans="10:12" x14ac:dyDescent="0.3">
      <c r="J911" s="3" t="s">
        <v>2090</v>
      </c>
      <c r="K911" s="3" t="s">
        <v>498</v>
      </c>
      <c r="L911" t="s">
        <v>2091</v>
      </c>
    </row>
    <row r="912" spans="10:12" x14ac:dyDescent="0.3">
      <c r="J912" s="3" t="s">
        <v>2092</v>
      </c>
      <c r="K912" s="3" t="s">
        <v>498</v>
      </c>
      <c r="L912" t="s">
        <v>2093</v>
      </c>
    </row>
    <row r="913" spans="10:12" x14ac:dyDescent="0.3">
      <c r="J913" s="3" t="s">
        <v>2094</v>
      </c>
      <c r="K913" s="3" t="s">
        <v>498</v>
      </c>
      <c r="L913" t="s">
        <v>2095</v>
      </c>
    </row>
    <row r="914" spans="10:12" x14ac:dyDescent="0.3">
      <c r="J914" s="3" t="s">
        <v>2096</v>
      </c>
      <c r="K914" s="3" t="s">
        <v>498</v>
      </c>
      <c r="L914" t="s">
        <v>2097</v>
      </c>
    </row>
    <row r="915" spans="10:12" x14ac:dyDescent="0.3">
      <c r="J915" s="3" t="s">
        <v>2098</v>
      </c>
      <c r="K915" s="3" t="s">
        <v>498</v>
      </c>
      <c r="L915" t="s">
        <v>2099</v>
      </c>
    </row>
    <row r="916" spans="10:12" x14ac:dyDescent="0.3">
      <c r="J916" s="3" t="s">
        <v>2100</v>
      </c>
      <c r="K916" s="3" t="s">
        <v>498</v>
      </c>
      <c r="L916" t="s">
        <v>2101</v>
      </c>
    </row>
    <row r="917" spans="10:12" x14ac:dyDescent="0.3">
      <c r="J917" s="3" t="s">
        <v>2102</v>
      </c>
      <c r="K917" s="3" t="s">
        <v>498</v>
      </c>
      <c r="L917" t="s">
        <v>632</v>
      </c>
    </row>
    <row r="918" spans="10:12" x14ac:dyDescent="0.3">
      <c r="J918" s="3" t="s">
        <v>2103</v>
      </c>
      <c r="K918" s="3" t="s">
        <v>498</v>
      </c>
      <c r="L918" t="s">
        <v>2104</v>
      </c>
    </row>
    <row r="919" spans="10:12" x14ac:dyDescent="0.3">
      <c r="J919" s="3" t="s">
        <v>2105</v>
      </c>
      <c r="K919" s="3" t="s">
        <v>498</v>
      </c>
      <c r="L919" t="s">
        <v>2106</v>
      </c>
    </row>
    <row r="920" spans="10:12" x14ac:dyDescent="0.3">
      <c r="J920" s="3" t="s">
        <v>2107</v>
      </c>
      <c r="K920" s="3" t="s">
        <v>498</v>
      </c>
      <c r="L920" t="s">
        <v>2108</v>
      </c>
    </row>
    <row r="921" spans="10:12" x14ac:dyDescent="0.3">
      <c r="J921" s="3" t="s">
        <v>2109</v>
      </c>
      <c r="K921" s="3" t="s">
        <v>498</v>
      </c>
      <c r="L921" t="s">
        <v>2110</v>
      </c>
    </row>
    <row r="922" spans="10:12" x14ac:dyDescent="0.3">
      <c r="J922" s="3" t="s">
        <v>2111</v>
      </c>
      <c r="K922" s="3" t="s">
        <v>498</v>
      </c>
      <c r="L922" t="s">
        <v>2112</v>
      </c>
    </row>
    <row r="923" spans="10:12" x14ac:dyDescent="0.3">
      <c r="J923" s="3" t="s">
        <v>2113</v>
      </c>
      <c r="K923" s="3" t="s">
        <v>498</v>
      </c>
      <c r="L923" t="s">
        <v>2114</v>
      </c>
    </row>
    <row r="924" spans="10:12" x14ac:dyDescent="0.3">
      <c r="J924" s="3" t="s">
        <v>2115</v>
      </c>
      <c r="K924" s="3" t="s">
        <v>498</v>
      </c>
      <c r="L924" t="s">
        <v>2116</v>
      </c>
    </row>
    <row r="925" spans="10:12" x14ac:dyDescent="0.3">
      <c r="J925" s="3" t="s">
        <v>2117</v>
      </c>
      <c r="K925" s="3" t="s">
        <v>498</v>
      </c>
      <c r="L925" t="s">
        <v>2118</v>
      </c>
    </row>
    <row r="926" spans="10:12" x14ac:dyDescent="0.3">
      <c r="J926" s="3" t="s">
        <v>2119</v>
      </c>
      <c r="K926" s="3" t="s">
        <v>498</v>
      </c>
      <c r="L926" t="s">
        <v>2120</v>
      </c>
    </row>
    <row r="927" spans="10:12" x14ac:dyDescent="0.3">
      <c r="J927" s="3" t="s">
        <v>2121</v>
      </c>
      <c r="K927" s="3" t="s">
        <v>498</v>
      </c>
      <c r="L927" t="s">
        <v>2122</v>
      </c>
    </row>
    <row r="928" spans="10:12" x14ac:dyDescent="0.3">
      <c r="J928" s="3" t="s">
        <v>2123</v>
      </c>
      <c r="K928" s="3" t="s">
        <v>498</v>
      </c>
      <c r="L928" t="s">
        <v>634</v>
      </c>
    </row>
    <row r="929" spans="10:12" x14ac:dyDescent="0.3">
      <c r="J929" s="3" t="s">
        <v>2124</v>
      </c>
      <c r="K929" s="3" t="s">
        <v>498</v>
      </c>
      <c r="L929" t="s">
        <v>2125</v>
      </c>
    </row>
    <row r="930" spans="10:12" x14ac:dyDescent="0.3">
      <c r="J930" s="3" t="s">
        <v>2126</v>
      </c>
      <c r="K930" s="3" t="s">
        <v>498</v>
      </c>
      <c r="L930" t="s">
        <v>2127</v>
      </c>
    </row>
    <row r="931" spans="10:12" x14ac:dyDescent="0.3">
      <c r="J931" s="3" t="s">
        <v>2128</v>
      </c>
      <c r="K931" s="3" t="s">
        <v>498</v>
      </c>
      <c r="L931" t="s">
        <v>2129</v>
      </c>
    </row>
    <row r="932" spans="10:12" x14ac:dyDescent="0.3">
      <c r="J932" s="3" t="s">
        <v>2130</v>
      </c>
      <c r="K932" s="3" t="s">
        <v>498</v>
      </c>
      <c r="L932" t="s">
        <v>2131</v>
      </c>
    </row>
    <row r="933" spans="10:12" x14ac:dyDescent="0.3">
      <c r="J933" s="3" t="s">
        <v>2132</v>
      </c>
      <c r="K933" s="3" t="s">
        <v>498</v>
      </c>
      <c r="L933" t="s">
        <v>2133</v>
      </c>
    </row>
    <row r="934" spans="10:12" x14ac:dyDescent="0.3">
      <c r="J934" s="3" t="s">
        <v>2134</v>
      </c>
      <c r="K934" s="3" t="s">
        <v>498</v>
      </c>
      <c r="L934" t="s">
        <v>2135</v>
      </c>
    </row>
    <row r="935" spans="10:12" x14ac:dyDescent="0.3">
      <c r="J935" s="3" t="s">
        <v>2136</v>
      </c>
      <c r="K935" s="3" t="s">
        <v>498</v>
      </c>
      <c r="L935" t="s">
        <v>2137</v>
      </c>
    </row>
    <row r="936" spans="10:12" x14ac:dyDescent="0.3">
      <c r="J936" s="3" t="s">
        <v>2138</v>
      </c>
      <c r="K936" s="3" t="s">
        <v>498</v>
      </c>
      <c r="L936" t="s">
        <v>2139</v>
      </c>
    </row>
    <row r="937" spans="10:12" x14ac:dyDescent="0.3">
      <c r="J937" s="3" t="s">
        <v>2140</v>
      </c>
      <c r="K937" s="3" t="s">
        <v>498</v>
      </c>
      <c r="L937" t="s">
        <v>2141</v>
      </c>
    </row>
    <row r="938" spans="10:12" x14ac:dyDescent="0.3">
      <c r="J938" s="3" t="s">
        <v>2142</v>
      </c>
      <c r="K938" s="3" t="s">
        <v>498</v>
      </c>
      <c r="L938" t="s">
        <v>2143</v>
      </c>
    </row>
    <row r="939" spans="10:12" x14ac:dyDescent="0.3">
      <c r="J939" s="3" t="s">
        <v>2144</v>
      </c>
      <c r="K939" s="3" t="s">
        <v>498</v>
      </c>
      <c r="L939" t="s">
        <v>636</v>
      </c>
    </row>
    <row r="940" spans="10:12" x14ac:dyDescent="0.3">
      <c r="J940" s="3" t="s">
        <v>2145</v>
      </c>
      <c r="K940" s="3" t="s">
        <v>498</v>
      </c>
      <c r="L940" t="s">
        <v>2146</v>
      </c>
    </row>
    <row r="941" spans="10:12" x14ac:dyDescent="0.3">
      <c r="J941" s="3" t="s">
        <v>2147</v>
      </c>
      <c r="K941" s="3" t="s">
        <v>498</v>
      </c>
      <c r="L941" t="s">
        <v>2148</v>
      </c>
    </row>
    <row r="942" spans="10:12" x14ac:dyDescent="0.3">
      <c r="J942" s="3" t="s">
        <v>2149</v>
      </c>
      <c r="K942" s="3" t="s">
        <v>498</v>
      </c>
      <c r="L942" t="s">
        <v>2150</v>
      </c>
    </row>
    <row r="943" spans="10:12" x14ac:dyDescent="0.3">
      <c r="J943" s="3" t="s">
        <v>2151</v>
      </c>
      <c r="K943" s="3" t="s">
        <v>498</v>
      </c>
      <c r="L943" t="s">
        <v>2152</v>
      </c>
    </row>
    <row r="944" spans="10:12" x14ac:dyDescent="0.3">
      <c r="J944" s="3" t="s">
        <v>2153</v>
      </c>
      <c r="K944" s="3" t="s">
        <v>498</v>
      </c>
      <c r="L944" t="s">
        <v>2154</v>
      </c>
    </row>
    <row r="945" spans="10:12" x14ac:dyDescent="0.3">
      <c r="J945" s="3" t="s">
        <v>2155</v>
      </c>
      <c r="K945" s="3" t="s">
        <v>498</v>
      </c>
      <c r="L945" t="s">
        <v>2156</v>
      </c>
    </row>
    <row r="946" spans="10:12" x14ac:dyDescent="0.3">
      <c r="J946" s="3" t="s">
        <v>2157</v>
      </c>
      <c r="K946" s="3" t="s">
        <v>498</v>
      </c>
      <c r="L946" t="s">
        <v>2158</v>
      </c>
    </row>
    <row r="947" spans="10:12" x14ac:dyDescent="0.3">
      <c r="J947" s="3" t="s">
        <v>2159</v>
      </c>
      <c r="K947" s="3" t="s">
        <v>498</v>
      </c>
      <c r="L947" t="s">
        <v>2160</v>
      </c>
    </row>
    <row r="948" spans="10:12" x14ac:dyDescent="0.3">
      <c r="J948" s="3" t="s">
        <v>2161</v>
      </c>
      <c r="K948" s="3" t="s">
        <v>498</v>
      </c>
      <c r="L948" t="s">
        <v>2162</v>
      </c>
    </row>
    <row r="949" spans="10:12" x14ac:dyDescent="0.3">
      <c r="J949" s="3" t="s">
        <v>2163</v>
      </c>
      <c r="K949" s="3" t="s">
        <v>498</v>
      </c>
      <c r="L949" t="s">
        <v>2164</v>
      </c>
    </row>
    <row r="950" spans="10:12" x14ac:dyDescent="0.3">
      <c r="J950" s="3" t="s">
        <v>2165</v>
      </c>
      <c r="K950" s="3" t="s">
        <v>498</v>
      </c>
      <c r="L950" t="s">
        <v>638</v>
      </c>
    </row>
    <row r="951" spans="10:12" x14ac:dyDescent="0.3">
      <c r="J951" s="3" t="s">
        <v>2166</v>
      </c>
      <c r="K951" s="3" t="s">
        <v>498</v>
      </c>
      <c r="L951" t="s">
        <v>2167</v>
      </c>
    </row>
    <row r="952" spans="10:12" x14ac:dyDescent="0.3">
      <c r="J952" s="3" t="s">
        <v>2168</v>
      </c>
      <c r="K952" s="3" t="s">
        <v>498</v>
      </c>
      <c r="L952" t="s">
        <v>2169</v>
      </c>
    </row>
    <row r="953" spans="10:12" x14ac:dyDescent="0.3">
      <c r="J953" s="3" t="s">
        <v>2170</v>
      </c>
      <c r="K953" s="3" t="s">
        <v>498</v>
      </c>
      <c r="L953" t="s">
        <v>2171</v>
      </c>
    </row>
    <row r="954" spans="10:12" x14ac:dyDescent="0.3">
      <c r="J954" s="3" t="s">
        <v>2172</v>
      </c>
      <c r="K954" s="3" t="s">
        <v>498</v>
      </c>
      <c r="L954" t="s">
        <v>2173</v>
      </c>
    </row>
    <row r="955" spans="10:12" x14ac:dyDescent="0.3">
      <c r="J955" s="3" t="s">
        <v>2174</v>
      </c>
      <c r="K955" s="3" t="s">
        <v>498</v>
      </c>
      <c r="L955" t="s">
        <v>2175</v>
      </c>
    </row>
    <row r="956" spans="10:12" x14ac:dyDescent="0.3">
      <c r="J956" s="3" t="s">
        <v>2176</v>
      </c>
      <c r="K956" s="3" t="s">
        <v>498</v>
      </c>
      <c r="L956" t="s">
        <v>2177</v>
      </c>
    </row>
    <row r="957" spans="10:12" x14ac:dyDescent="0.3">
      <c r="J957" s="3" t="s">
        <v>2178</v>
      </c>
      <c r="K957" s="3" t="s">
        <v>498</v>
      </c>
      <c r="L957" t="s">
        <v>2179</v>
      </c>
    </row>
    <row r="958" spans="10:12" x14ac:dyDescent="0.3">
      <c r="J958" s="3" t="s">
        <v>2180</v>
      </c>
      <c r="K958" s="3" t="s">
        <v>498</v>
      </c>
      <c r="L958" t="s">
        <v>2181</v>
      </c>
    </row>
    <row r="959" spans="10:12" x14ac:dyDescent="0.3">
      <c r="J959" s="3" t="s">
        <v>2182</v>
      </c>
      <c r="K959" s="3" t="s">
        <v>498</v>
      </c>
      <c r="L959" t="s">
        <v>2183</v>
      </c>
    </row>
    <row r="960" spans="10:12" x14ac:dyDescent="0.3">
      <c r="J960" s="3" t="s">
        <v>2184</v>
      </c>
      <c r="K960" s="3" t="s">
        <v>498</v>
      </c>
      <c r="L960" t="s">
        <v>2185</v>
      </c>
    </row>
    <row r="961" spans="10:12" x14ac:dyDescent="0.3">
      <c r="J961" s="3" t="s">
        <v>2186</v>
      </c>
      <c r="K961" s="3" t="s">
        <v>498</v>
      </c>
      <c r="L961" t="s">
        <v>640</v>
      </c>
    </row>
    <row r="962" spans="10:12" x14ac:dyDescent="0.3">
      <c r="J962" s="3" t="s">
        <v>2187</v>
      </c>
      <c r="K962" s="3" t="s">
        <v>498</v>
      </c>
      <c r="L962" t="s">
        <v>2188</v>
      </c>
    </row>
    <row r="963" spans="10:12" x14ac:dyDescent="0.3">
      <c r="J963" s="3" t="s">
        <v>2189</v>
      </c>
      <c r="K963" s="3" t="s">
        <v>498</v>
      </c>
      <c r="L963" t="s">
        <v>2190</v>
      </c>
    </row>
    <row r="964" spans="10:12" x14ac:dyDescent="0.3">
      <c r="J964" s="3" t="s">
        <v>2191</v>
      </c>
      <c r="K964" s="3" t="s">
        <v>498</v>
      </c>
      <c r="L964" t="s">
        <v>2192</v>
      </c>
    </row>
    <row r="965" spans="10:12" x14ac:dyDescent="0.3">
      <c r="J965" s="3" t="s">
        <v>2193</v>
      </c>
      <c r="K965" s="3" t="s">
        <v>498</v>
      </c>
      <c r="L965" t="s">
        <v>2194</v>
      </c>
    </row>
    <row r="966" spans="10:12" x14ac:dyDescent="0.3">
      <c r="J966" s="3" t="s">
        <v>2195</v>
      </c>
      <c r="K966" s="3" t="s">
        <v>498</v>
      </c>
      <c r="L966" t="s">
        <v>2196</v>
      </c>
    </row>
    <row r="967" spans="10:12" x14ac:dyDescent="0.3">
      <c r="J967" s="3" t="s">
        <v>2197</v>
      </c>
      <c r="K967" s="3" t="s">
        <v>498</v>
      </c>
      <c r="L967" t="s">
        <v>2198</v>
      </c>
    </row>
    <row r="968" spans="10:12" x14ac:dyDescent="0.3">
      <c r="J968" s="3" t="s">
        <v>2199</v>
      </c>
      <c r="K968" s="3" t="s">
        <v>498</v>
      </c>
      <c r="L968" t="s">
        <v>2200</v>
      </c>
    </row>
    <row r="969" spans="10:12" x14ac:dyDescent="0.3">
      <c r="J969" s="3" t="s">
        <v>2201</v>
      </c>
      <c r="K969" s="3" t="s">
        <v>498</v>
      </c>
      <c r="L969" t="s">
        <v>2202</v>
      </c>
    </row>
    <row r="970" spans="10:12" x14ac:dyDescent="0.3">
      <c r="J970" s="3" t="s">
        <v>2203</v>
      </c>
      <c r="K970" s="3" t="s">
        <v>498</v>
      </c>
      <c r="L970" t="s">
        <v>2204</v>
      </c>
    </row>
    <row r="971" spans="10:12" x14ac:dyDescent="0.3">
      <c r="J971" s="3" t="s">
        <v>2205</v>
      </c>
      <c r="K971" s="3" t="s">
        <v>498</v>
      </c>
      <c r="L971" t="s">
        <v>2206</v>
      </c>
    </row>
    <row r="972" spans="10:12" x14ac:dyDescent="0.3">
      <c r="J972" s="3" t="s">
        <v>2207</v>
      </c>
      <c r="K972" s="3" t="s">
        <v>498</v>
      </c>
      <c r="L972" t="s">
        <v>642</v>
      </c>
    </row>
    <row r="973" spans="10:12" x14ac:dyDescent="0.3">
      <c r="J973" s="3" t="s">
        <v>2208</v>
      </c>
      <c r="K973" s="3" t="s">
        <v>498</v>
      </c>
      <c r="L973" t="s">
        <v>2209</v>
      </c>
    </row>
    <row r="974" spans="10:12" x14ac:dyDescent="0.3">
      <c r="J974" s="3" t="s">
        <v>2210</v>
      </c>
      <c r="K974" s="3" t="s">
        <v>498</v>
      </c>
      <c r="L974" t="s">
        <v>2211</v>
      </c>
    </row>
    <row r="975" spans="10:12" x14ac:dyDescent="0.3">
      <c r="J975" s="3" t="s">
        <v>2212</v>
      </c>
      <c r="K975" s="3" t="s">
        <v>498</v>
      </c>
      <c r="L975" t="s">
        <v>2213</v>
      </c>
    </row>
    <row r="976" spans="10:12" x14ac:dyDescent="0.3">
      <c r="J976" s="3" t="s">
        <v>2214</v>
      </c>
      <c r="K976" s="3" t="s">
        <v>498</v>
      </c>
      <c r="L976" t="s">
        <v>2215</v>
      </c>
    </row>
    <row r="977" spans="10:12" x14ac:dyDescent="0.3">
      <c r="J977" s="3" t="s">
        <v>2216</v>
      </c>
      <c r="K977" s="3" t="s">
        <v>498</v>
      </c>
      <c r="L977" t="s">
        <v>2217</v>
      </c>
    </row>
    <row r="978" spans="10:12" x14ac:dyDescent="0.3">
      <c r="J978" s="3" t="s">
        <v>2218</v>
      </c>
      <c r="K978" s="3" t="s">
        <v>498</v>
      </c>
      <c r="L978" t="s">
        <v>2219</v>
      </c>
    </row>
    <row r="979" spans="10:12" x14ac:dyDescent="0.3">
      <c r="J979" s="3" t="s">
        <v>2220</v>
      </c>
      <c r="K979" s="3" t="s">
        <v>498</v>
      </c>
      <c r="L979" t="s">
        <v>2221</v>
      </c>
    </row>
    <row r="980" spans="10:12" x14ac:dyDescent="0.3">
      <c r="J980" s="3" t="s">
        <v>2222</v>
      </c>
      <c r="K980" s="3" t="s">
        <v>498</v>
      </c>
      <c r="L980" t="s">
        <v>2223</v>
      </c>
    </row>
    <row r="981" spans="10:12" x14ac:dyDescent="0.3">
      <c r="J981" s="3" t="s">
        <v>2224</v>
      </c>
      <c r="K981" s="3" t="s">
        <v>498</v>
      </c>
      <c r="L981" t="s">
        <v>2225</v>
      </c>
    </row>
    <row r="982" spans="10:12" x14ac:dyDescent="0.3">
      <c r="J982" s="3" t="s">
        <v>2226</v>
      </c>
      <c r="K982" s="3" t="s">
        <v>498</v>
      </c>
      <c r="L982" t="s">
        <v>2227</v>
      </c>
    </row>
    <row r="983" spans="10:12" x14ac:dyDescent="0.3">
      <c r="J983" s="3" t="s">
        <v>2228</v>
      </c>
      <c r="K983" s="3" t="s">
        <v>498</v>
      </c>
      <c r="L983" t="s">
        <v>625</v>
      </c>
    </row>
    <row r="984" spans="10:12" x14ac:dyDescent="0.3">
      <c r="J984" s="3" t="s">
        <v>2229</v>
      </c>
      <c r="K984" s="3" t="s">
        <v>498</v>
      </c>
      <c r="L984" t="s">
        <v>2230</v>
      </c>
    </row>
    <row r="985" spans="10:12" x14ac:dyDescent="0.3">
      <c r="J985" s="3" t="s">
        <v>2231</v>
      </c>
      <c r="K985" s="3" t="s">
        <v>498</v>
      </c>
      <c r="L985" t="s">
        <v>2232</v>
      </c>
    </row>
    <row r="986" spans="10:12" x14ac:dyDescent="0.3">
      <c r="J986" s="3" t="s">
        <v>2233</v>
      </c>
      <c r="K986" s="3" t="s">
        <v>498</v>
      </c>
      <c r="L986" t="s">
        <v>2234</v>
      </c>
    </row>
    <row r="987" spans="10:12" x14ac:dyDescent="0.3">
      <c r="J987" s="3" t="s">
        <v>2235</v>
      </c>
      <c r="K987" s="3" t="s">
        <v>498</v>
      </c>
      <c r="L987" t="s">
        <v>2236</v>
      </c>
    </row>
    <row r="988" spans="10:12" x14ac:dyDescent="0.3">
      <c r="J988" s="3" t="s">
        <v>2237</v>
      </c>
      <c r="K988" s="3" t="s">
        <v>498</v>
      </c>
      <c r="L988" t="s">
        <v>2238</v>
      </c>
    </row>
    <row r="989" spans="10:12" x14ac:dyDescent="0.3">
      <c r="J989" s="3" t="s">
        <v>2239</v>
      </c>
      <c r="K989" s="3" t="s">
        <v>498</v>
      </c>
      <c r="L989" t="s">
        <v>2240</v>
      </c>
    </row>
    <row r="990" spans="10:12" x14ac:dyDescent="0.3">
      <c r="J990" s="3" t="s">
        <v>2241</v>
      </c>
      <c r="K990" s="3" t="s">
        <v>498</v>
      </c>
      <c r="L990" t="s">
        <v>2242</v>
      </c>
    </row>
    <row r="991" spans="10:12" x14ac:dyDescent="0.3">
      <c r="J991" s="3" t="s">
        <v>2243</v>
      </c>
      <c r="K991" s="3" t="s">
        <v>498</v>
      </c>
      <c r="L991" t="s">
        <v>2244</v>
      </c>
    </row>
    <row r="992" spans="10:12" x14ac:dyDescent="0.3">
      <c r="J992" s="3" t="s">
        <v>2245</v>
      </c>
      <c r="K992" s="3" t="s">
        <v>498</v>
      </c>
      <c r="L992" t="s">
        <v>2246</v>
      </c>
    </row>
    <row r="993" spans="10:12" x14ac:dyDescent="0.3">
      <c r="J993" s="3" t="s">
        <v>2247</v>
      </c>
      <c r="K993" s="3" t="s">
        <v>498</v>
      </c>
      <c r="L993" t="s">
        <v>2248</v>
      </c>
    </row>
    <row r="994" spans="10:12" x14ac:dyDescent="0.3">
      <c r="J994" s="3" t="s">
        <v>2249</v>
      </c>
      <c r="K994" s="3" t="s">
        <v>498</v>
      </c>
      <c r="L994" t="s">
        <v>645</v>
      </c>
    </row>
    <row r="995" spans="10:12" x14ac:dyDescent="0.3">
      <c r="J995" s="3" t="s">
        <v>2250</v>
      </c>
      <c r="K995" s="3" t="s">
        <v>498</v>
      </c>
      <c r="L995" t="s">
        <v>2251</v>
      </c>
    </row>
    <row r="996" spans="10:12" x14ac:dyDescent="0.3">
      <c r="J996" s="3" t="s">
        <v>2252</v>
      </c>
      <c r="K996" s="3" t="s">
        <v>498</v>
      </c>
      <c r="L996" t="s">
        <v>2253</v>
      </c>
    </row>
    <row r="997" spans="10:12" x14ac:dyDescent="0.3">
      <c r="J997" s="3" t="s">
        <v>2254</v>
      </c>
      <c r="K997" s="3" t="s">
        <v>498</v>
      </c>
      <c r="L997" t="s">
        <v>2255</v>
      </c>
    </row>
    <row r="998" spans="10:12" x14ac:dyDescent="0.3">
      <c r="J998" s="3" t="s">
        <v>2256</v>
      </c>
      <c r="K998" s="3" t="s">
        <v>498</v>
      </c>
      <c r="L998" t="s">
        <v>2257</v>
      </c>
    </row>
    <row r="999" spans="10:12" x14ac:dyDescent="0.3">
      <c r="J999" s="3" t="s">
        <v>2258</v>
      </c>
      <c r="K999" s="3" t="s">
        <v>498</v>
      </c>
      <c r="L999" t="s">
        <v>2259</v>
      </c>
    </row>
    <row r="1000" spans="10:12" x14ac:dyDescent="0.3">
      <c r="J1000" s="3" t="s">
        <v>2260</v>
      </c>
      <c r="K1000" s="3" t="s">
        <v>498</v>
      </c>
      <c r="L1000" t="s">
        <v>2261</v>
      </c>
    </row>
    <row r="1001" spans="10:12" x14ac:dyDescent="0.3">
      <c r="J1001" s="3" t="s">
        <v>2262</v>
      </c>
      <c r="K1001" s="3" t="s">
        <v>498</v>
      </c>
      <c r="L1001" t="s">
        <v>2263</v>
      </c>
    </row>
    <row r="1002" spans="10:12" x14ac:dyDescent="0.3">
      <c r="J1002" s="3" t="s">
        <v>2264</v>
      </c>
      <c r="K1002" s="3" t="s">
        <v>498</v>
      </c>
      <c r="L1002" t="s">
        <v>2265</v>
      </c>
    </row>
    <row r="1003" spans="10:12" x14ac:dyDescent="0.3">
      <c r="J1003" s="3" t="s">
        <v>2266</v>
      </c>
      <c r="K1003" s="3" t="s">
        <v>498</v>
      </c>
      <c r="L1003" t="s">
        <v>2267</v>
      </c>
    </row>
    <row r="1004" spans="10:12" x14ac:dyDescent="0.3">
      <c r="J1004" s="3" t="s">
        <v>2268</v>
      </c>
      <c r="K1004" s="3" t="s">
        <v>498</v>
      </c>
      <c r="L1004" t="s">
        <v>2269</v>
      </c>
    </row>
    <row r="1005" spans="10:12" x14ac:dyDescent="0.3">
      <c r="J1005" s="3" t="s">
        <v>2270</v>
      </c>
      <c r="K1005" s="3" t="s">
        <v>498</v>
      </c>
      <c r="L1005" t="s">
        <v>647</v>
      </c>
    </row>
    <row r="1006" spans="10:12" x14ac:dyDescent="0.3">
      <c r="J1006" s="3" t="s">
        <v>2271</v>
      </c>
      <c r="K1006" s="3" t="s">
        <v>498</v>
      </c>
      <c r="L1006" t="s">
        <v>2272</v>
      </c>
    </row>
    <row r="1007" spans="10:12" x14ac:dyDescent="0.3">
      <c r="J1007" s="3" t="s">
        <v>2273</v>
      </c>
      <c r="K1007" s="3" t="s">
        <v>498</v>
      </c>
      <c r="L1007" t="s">
        <v>2274</v>
      </c>
    </row>
    <row r="1008" spans="10:12" x14ac:dyDescent="0.3">
      <c r="J1008" s="3" t="s">
        <v>2275</v>
      </c>
      <c r="K1008" s="3" t="s">
        <v>498</v>
      </c>
      <c r="L1008" t="s">
        <v>2276</v>
      </c>
    </row>
    <row r="1009" spans="10:12" x14ac:dyDescent="0.3">
      <c r="J1009" s="3" t="s">
        <v>2277</v>
      </c>
      <c r="K1009" s="3" t="s">
        <v>498</v>
      </c>
      <c r="L1009" t="s">
        <v>2278</v>
      </c>
    </row>
    <row r="1010" spans="10:12" x14ac:dyDescent="0.3">
      <c r="J1010" s="3" t="s">
        <v>2279</v>
      </c>
      <c r="K1010" s="3" t="s">
        <v>498</v>
      </c>
      <c r="L1010" t="s">
        <v>2280</v>
      </c>
    </row>
    <row r="1011" spans="10:12" x14ac:dyDescent="0.3">
      <c r="J1011" s="3" t="s">
        <v>2281</v>
      </c>
      <c r="K1011" s="3" t="s">
        <v>498</v>
      </c>
      <c r="L1011" t="s">
        <v>2282</v>
      </c>
    </row>
    <row r="1012" spans="10:12" x14ac:dyDescent="0.3">
      <c r="J1012" s="3" t="s">
        <v>2283</v>
      </c>
      <c r="K1012" s="3" t="s">
        <v>498</v>
      </c>
      <c r="L1012" t="s">
        <v>2284</v>
      </c>
    </row>
    <row r="1013" spans="10:12" x14ac:dyDescent="0.3">
      <c r="J1013" s="3" t="s">
        <v>2285</v>
      </c>
      <c r="K1013" s="3" t="s">
        <v>498</v>
      </c>
      <c r="L1013" t="s">
        <v>2286</v>
      </c>
    </row>
    <row r="1014" spans="10:12" x14ac:dyDescent="0.3">
      <c r="J1014" s="3" t="s">
        <v>2287</v>
      </c>
      <c r="K1014" s="3" t="s">
        <v>498</v>
      </c>
      <c r="L1014" t="s">
        <v>2288</v>
      </c>
    </row>
    <row r="1015" spans="10:12" x14ac:dyDescent="0.3">
      <c r="J1015" s="3" t="s">
        <v>2289</v>
      </c>
      <c r="K1015" s="3" t="s">
        <v>498</v>
      </c>
      <c r="L1015" t="s">
        <v>2290</v>
      </c>
    </row>
    <row r="1016" spans="10:12" x14ac:dyDescent="0.3">
      <c r="J1016" t="s">
        <v>2291</v>
      </c>
      <c r="K1016" t="s">
        <v>504</v>
      </c>
      <c r="L1016" t="s">
        <v>2292</v>
      </c>
    </row>
    <row r="1017" spans="10:12" x14ac:dyDescent="0.3">
      <c r="J1017" t="s">
        <v>2293</v>
      </c>
      <c r="K1017" t="s">
        <v>504</v>
      </c>
      <c r="L1017" t="s">
        <v>2294</v>
      </c>
    </row>
  </sheetData>
  <sortState ref="H2:J1017">
    <sortCondition ref="H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3:P26"/>
  <sheetViews>
    <sheetView tabSelected="1" workbookViewId="0">
      <selection activeCell="R30" sqref="R30"/>
    </sheetView>
  </sheetViews>
  <sheetFormatPr defaultRowHeight="14.4" x14ac:dyDescent="0.3"/>
  <sheetData>
    <row r="3" spans="2:16" x14ac:dyDescent="0.3">
      <c r="F3" t="s">
        <v>260</v>
      </c>
    </row>
    <row r="4" spans="2:16" x14ac:dyDescent="0.3">
      <c r="F4" t="s">
        <v>262</v>
      </c>
    </row>
    <row r="5" spans="2:16" x14ac:dyDescent="0.3">
      <c r="F5" t="s">
        <v>261</v>
      </c>
    </row>
    <row r="6" spans="2:16" x14ac:dyDescent="0.3">
      <c r="B6" t="s">
        <v>258</v>
      </c>
    </row>
    <row r="7" spans="2:16" x14ac:dyDescent="0.3">
      <c r="B7" t="s">
        <v>3067</v>
      </c>
    </row>
    <row r="8" spans="2:16" x14ac:dyDescent="0.3">
      <c r="B8" t="s">
        <v>3095</v>
      </c>
    </row>
    <row r="9" spans="2:16" x14ac:dyDescent="0.3">
      <c r="B9" t="s">
        <v>3096</v>
      </c>
      <c r="D9" t="s">
        <v>3097</v>
      </c>
    </row>
    <row r="11" spans="2:16" x14ac:dyDescent="0.3">
      <c r="B11" t="s">
        <v>259</v>
      </c>
    </row>
    <row r="12" spans="2:16" x14ac:dyDescent="0.3">
      <c r="B12" t="s">
        <v>3068</v>
      </c>
    </row>
    <row r="13" spans="2:16" x14ac:dyDescent="0.3">
      <c r="P13" t="s">
        <v>29</v>
      </c>
    </row>
    <row r="15" spans="2:16" x14ac:dyDescent="0.3">
      <c r="F15" t="s">
        <v>15</v>
      </c>
    </row>
    <row r="16" spans="2:16" x14ac:dyDescent="0.3">
      <c r="F16" t="s">
        <v>280</v>
      </c>
    </row>
    <row r="17" spans="6:6" x14ac:dyDescent="0.3">
      <c r="F17" t="s">
        <v>281</v>
      </c>
    </row>
    <row r="20" spans="6:6" x14ac:dyDescent="0.3">
      <c r="F20" t="s">
        <v>16</v>
      </c>
    </row>
    <row r="25" spans="6:6" x14ac:dyDescent="0.3">
      <c r="F25" t="s">
        <v>27</v>
      </c>
    </row>
    <row r="26" spans="6:6" x14ac:dyDescent="0.3">
      <c r="F26" t="s">
        <v>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ullModuleList">
                <anchor moveWithCells="1" sizeWithCells="1">
                  <from>
                    <xdr:col>0</xdr:col>
                    <xdr:colOff>548640</xdr:colOff>
                    <xdr:row>13</xdr:row>
                    <xdr:rowOff>68580</xdr:rowOff>
                  </from>
                  <to>
                    <xdr:col>3</xdr:col>
                    <xdr:colOff>548640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Sub_FC">
                <anchor moveWithCells="1" sizeWithCells="1">
                  <from>
                    <xdr:col>0</xdr:col>
                    <xdr:colOff>548640</xdr:colOff>
                    <xdr:row>18</xdr:row>
                    <xdr:rowOff>68580</xdr:rowOff>
                  </from>
                  <to>
                    <xdr:col>3</xdr:col>
                    <xdr:colOff>548640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how_All_Sheets">
                <anchor moveWithCells="1" sizeWithCells="1">
                  <from>
                    <xdr:col>0</xdr:col>
                    <xdr:colOff>548640</xdr:colOff>
                    <xdr:row>23</xdr:row>
                    <xdr:rowOff>68580</xdr:rowOff>
                  </from>
                  <to>
                    <xdr:col>3</xdr:col>
                    <xdr:colOff>548640</xdr:colOff>
                    <xdr:row>25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defaultSize="0" print="0" autoFill="0" autoPict="0" macro="[0]!Get_Components">
                <anchor moveWithCells="1" sizeWithCells="1">
                  <from>
                    <xdr:col>1</xdr:col>
                    <xdr:colOff>0</xdr:colOff>
                    <xdr:row>2</xdr:row>
                    <xdr:rowOff>7620</xdr:rowOff>
                  </from>
                  <to>
                    <xdr:col>4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8" name="Button 14">
              <controlPr defaultSize="0" print="0" autoFill="0" autoPict="0" macro="[0]!PrintSetup_Click">
                <anchor moveWithCells="1" sizeWithCells="1">
                  <from>
                    <xdr:col>16</xdr:col>
                    <xdr:colOff>0</xdr:colOff>
                    <xdr:row>18</xdr:row>
                    <xdr:rowOff>175260</xdr:rowOff>
                  </from>
                  <to>
                    <xdr:col>18</xdr:col>
                    <xdr:colOff>548640</xdr:colOff>
                    <xdr:row>22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9" name="Button 15">
              <controlPr defaultSize="0" print="0" autoFill="0" autoPict="0" macro="[0]!Get_Components">
                <anchor moveWithCells="1" sizeWithCells="1">
                  <from>
                    <xdr:col>16</xdr:col>
                    <xdr:colOff>144780</xdr:colOff>
                    <xdr:row>24</xdr:row>
                    <xdr:rowOff>60960</xdr:rowOff>
                  </from>
                  <to>
                    <xdr:col>19</xdr:col>
                    <xdr:colOff>15240</xdr:colOff>
                    <xdr:row>27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61"/>
  <sheetViews>
    <sheetView workbookViewId="0">
      <selection activeCell="N1" sqref="N1:U37"/>
    </sheetView>
  </sheetViews>
  <sheetFormatPr defaultRowHeight="14.4" x14ac:dyDescent="0.3"/>
  <cols>
    <col min="1" max="1" width="11.5546875" customWidth="1"/>
    <col min="10" max="10" width="16.6640625" customWidth="1"/>
    <col min="14" max="14" width="15.44140625" customWidth="1"/>
    <col min="20" max="20" width="16.109375" customWidth="1"/>
    <col min="28" max="28" width="11.44140625" customWidth="1"/>
  </cols>
  <sheetData>
    <row r="1" spans="1:32" x14ac:dyDescent="0.3">
      <c r="O1" s="8" t="s">
        <v>3001</v>
      </c>
      <c r="P1" s="8" t="s">
        <v>2825</v>
      </c>
      <c r="Q1" s="8" t="s">
        <v>3003</v>
      </c>
      <c r="R1" s="8" t="s">
        <v>3004</v>
      </c>
      <c r="S1" s="8" t="s">
        <v>3078</v>
      </c>
      <c r="AB1" t="s">
        <v>3070</v>
      </c>
      <c r="AC1" t="s">
        <v>3071</v>
      </c>
      <c r="AD1" t="s">
        <v>3072</v>
      </c>
    </row>
    <row r="2" spans="1:32" x14ac:dyDescent="0.3">
      <c r="N2" t="s">
        <v>223</v>
      </c>
      <c r="O2">
        <v>16</v>
      </c>
      <c r="P2">
        <v>7</v>
      </c>
      <c r="Q2" t="b">
        <v>1</v>
      </c>
      <c r="R2" t="b">
        <v>1</v>
      </c>
      <c r="S2">
        <v>0</v>
      </c>
      <c r="T2" t="s">
        <v>3010</v>
      </c>
      <c r="U2" t="s">
        <v>3029</v>
      </c>
      <c r="W2" t="s">
        <v>3052</v>
      </c>
      <c r="Y2" t="s">
        <v>3002</v>
      </c>
      <c r="Z2" t="s">
        <v>3053</v>
      </c>
      <c r="AB2" t="s">
        <v>3074</v>
      </c>
      <c r="AC2">
        <v>81</v>
      </c>
      <c r="AD2">
        <v>73</v>
      </c>
      <c r="AF2" t="s">
        <v>3127</v>
      </c>
    </row>
    <row r="3" spans="1:32" x14ac:dyDescent="0.3">
      <c r="N3" t="s">
        <v>3092</v>
      </c>
      <c r="O3">
        <v>12</v>
      </c>
      <c r="P3">
        <v>3</v>
      </c>
      <c r="Q3" t="b">
        <v>0</v>
      </c>
      <c r="S3">
        <v>0</v>
      </c>
      <c r="T3" t="s">
        <v>3011</v>
      </c>
      <c r="U3" t="s">
        <v>3030</v>
      </c>
      <c r="W3">
        <v>7</v>
      </c>
      <c r="Y3" t="s">
        <v>3054</v>
      </c>
      <c r="Z3" t="s">
        <v>3056</v>
      </c>
      <c r="AB3" t="s">
        <v>3077</v>
      </c>
      <c r="AC3">
        <v>94</v>
      </c>
      <c r="AD3">
        <v>81</v>
      </c>
      <c r="AF3">
        <v>83</v>
      </c>
    </row>
    <row r="4" spans="1:32" x14ac:dyDescent="0.3">
      <c r="A4" s="19" t="s">
        <v>2818</v>
      </c>
      <c r="B4" s="19" t="s">
        <v>2819</v>
      </c>
      <c r="C4" s="20" t="s">
        <v>2820</v>
      </c>
      <c r="D4" s="21" t="s">
        <v>2821</v>
      </c>
      <c r="E4" s="22" t="s">
        <v>2822</v>
      </c>
      <c r="F4" s="24" t="s">
        <v>2823</v>
      </c>
      <c r="G4" s="25" t="s">
        <v>2824</v>
      </c>
      <c r="H4" s="26" t="s">
        <v>2825</v>
      </c>
      <c r="N4" t="s">
        <v>3093</v>
      </c>
      <c r="O4">
        <v>12</v>
      </c>
      <c r="P4">
        <v>4</v>
      </c>
      <c r="Q4" t="b">
        <v>0</v>
      </c>
      <c r="S4">
        <v>0</v>
      </c>
      <c r="T4" t="s">
        <v>3014</v>
      </c>
      <c r="U4" t="s">
        <v>3031</v>
      </c>
      <c r="W4">
        <v>8</v>
      </c>
      <c r="Y4" t="s">
        <v>3055</v>
      </c>
      <c r="Z4" t="s">
        <v>3057</v>
      </c>
      <c r="AB4" t="s">
        <v>3073</v>
      </c>
      <c r="AC4">
        <v>81</v>
      </c>
      <c r="AD4">
        <v>73</v>
      </c>
      <c r="AF4">
        <v>79</v>
      </c>
    </row>
    <row r="5" spans="1:32" x14ac:dyDescent="0.3">
      <c r="A5" s="27" t="s">
        <v>2826</v>
      </c>
      <c r="B5" s="19" t="s">
        <v>2827</v>
      </c>
      <c r="C5" s="19" t="s">
        <v>2828</v>
      </c>
      <c r="D5" s="27" t="s">
        <v>2828</v>
      </c>
      <c r="E5" s="23">
        <v>0</v>
      </c>
      <c r="F5" s="23">
        <v>0</v>
      </c>
      <c r="G5" s="23">
        <v>0</v>
      </c>
      <c r="H5" s="26" t="s">
        <v>2829</v>
      </c>
      <c r="I5">
        <v>1</v>
      </c>
      <c r="J5" s="124" t="s">
        <v>3145</v>
      </c>
      <c r="K5" t="s">
        <v>2943</v>
      </c>
      <c r="N5" t="s">
        <v>3094</v>
      </c>
      <c r="O5">
        <v>10</v>
      </c>
      <c r="P5">
        <v>43</v>
      </c>
      <c r="Q5" t="b">
        <v>0</v>
      </c>
      <c r="S5">
        <v>0</v>
      </c>
      <c r="T5" t="s">
        <v>3012</v>
      </c>
      <c r="U5" t="s">
        <v>3032</v>
      </c>
      <c r="W5">
        <v>9</v>
      </c>
      <c r="AB5" t="s">
        <v>3075</v>
      </c>
      <c r="AC5">
        <v>81</v>
      </c>
      <c r="AD5">
        <v>76</v>
      </c>
      <c r="AF5">
        <v>69</v>
      </c>
    </row>
    <row r="6" spans="1:32" x14ac:dyDescent="0.3">
      <c r="A6" s="19" t="s">
        <v>2830</v>
      </c>
      <c r="B6" s="28" t="s">
        <v>2831</v>
      </c>
      <c r="C6" s="19" t="s">
        <v>2832</v>
      </c>
      <c r="D6" s="19" t="s">
        <v>2832</v>
      </c>
      <c r="E6" s="23">
        <v>255</v>
      </c>
      <c r="F6" s="23">
        <v>255</v>
      </c>
      <c r="G6" s="23">
        <v>255</v>
      </c>
      <c r="H6" s="26" t="s">
        <v>2833</v>
      </c>
      <c r="I6">
        <f>I5+1</f>
        <v>2</v>
      </c>
      <c r="J6" s="124" t="s">
        <v>3145</v>
      </c>
      <c r="K6" t="s">
        <v>2958</v>
      </c>
      <c r="N6" t="s">
        <v>2999</v>
      </c>
      <c r="O6">
        <v>10</v>
      </c>
      <c r="P6">
        <v>1</v>
      </c>
      <c r="Q6" t="b">
        <v>0</v>
      </c>
      <c r="S6">
        <v>0</v>
      </c>
      <c r="T6" t="s">
        <v>3013</v>
      </c>
      <c r="U6" t="s">
        <v>3033</v>
      </c>
      <c r="W6">
        <v>10</v>
      </c>
      <c r="Y6" t="s">
        <v>3128</v>
      </c>
      <c r="AB6" t="s">
        <v>3076</v>
      </c>
      <c r="AC6">
        <v>81</v>
      </c>
      <c r="AD6">
        <v>73</v>
      </c>
      <c r="AF6">
        <v>62</v>
      </c>
    </row>
    <row r="7" spans="1:32" x14ac:dyDescent="0.3">
      <c r="A7" s="29" t="s">
        <v>2834</v>
      </c>
      <c r="B7" s="30" t="s">
        <v>2835</v>
      </c>
      <c r="C7" s="19" t="s">
        <v>2836</v>
      </c>
      <c r="D7" s="29" t="s">
        <v>2836</v>
      </c>
      <c r="E7" s="23">
        <v>255</v>
      </c>
      <c r="F7" s="23">
        <v>0</v>
      </c>
      <c r="G7" s="23">
        <v>0</v>
      </c>
      <c r="H7" s="26" t="s">
        <v>2837</v>
      </c>
      <c r="I7">
        <f>I6+1</f>
        <v>3</v>
      </c>
      <c r="J7" s="124" t="s">
        <v>3145</v>
      </c>
      <c r="K7" t="s">
        <v>2944</v>
      </c>
      <c r="O7" t="s">
        <v>3002</v>
      </c>
      <c r="P7">
        <v>1</v>
      </c>
      <c r="T7" t="s">
        <v>3015</v>
      </c>
      <c r="U7" t="s">
        <v>3034</v>
      </c>
      <c r="W7">
        <v>11</v>
      </c>
      <c r="Y7" t="s">
        <v>3129</v>
      </c>
      <c r="AF7">
        <v>115</v>
      </c>
    </row>
    <row r="8" spans="1:32" x14ac:dyDescent="0.3">
      <c r="A8" s="31" t="s">
        <v>2823</v>
      </c>
      <c r="B8" s="32" t="s">
        <v>2838</v>
      </c>
      <c r="C8" s="19" t="s">
        <v>2839</v>
      </c>
      <c r="D8" s="31" t="s">
        <v>2839</v>
      </c>
      <c r="E8" s="23">
        <v>0</v>
      </c>
      <c r="F8" s="23">
        <v>255</v>
      </c>
      <c r="G8" s="23">
        <v>0</v>
      </c>
      <c r="H8" s="26" t="s">
        <v>2840</v>
      </c>
      <c r="I8">
        <f>I7+1</f>
        <v>4</v>
      </c>
      <c r="J8" s="124" t="s">
        <v>3145</v>
      </c>
      <c r="K8" t="s">
        <v>2945</v>
      </c>
      <c r="N8" t="s">
        <v>3000</v>
      </c>
      <c r="O8">
        <v>12</v>
      </c>
      <c r="P8">
        <v>1</v>
      </c>
      <c r="Q8" t="s">
        <v>3054</v>
      </c>
      <c r="S8">
        <v>0</v>
      </c>
      <c r="T8" t="s">
        <v>3016</v>
      </c>
      <c r="U8" t="s">
        <v>3035</v>
      </c>
      <c r="W8">
        <v>12</v>
      </c>
      <c r="Y8" t="s">
        <v>3130</v>
      </c>
      <c r="AF8">
        <v>107</v>
      </c>
    </row>
    <row r="9" spans="1:32" x14ac:dyDescent="0.3">
      <c r="A9" s="33" t="s">
        <v>2824</v>
      </c>
      <c r="B9" s="34" t="s">
        <v>2841</v>
      </c>
      <c r="C9" s="19" t="s">
        <v>2842</v>
      </c>
      <c r="D9" s="33" t="s">
        <v>2842</v>
      </c>
      <c r="E9" s="23">
        <v>0</v>
      </c>
      <c r="F9" s="23">
        <v>0</v>
      </c>
      <c r="G9" s="23">
        <v>255</v>
      </c>
      <c r="H9" s="26" t="s">
        <v>2843</v>
      </c>
      <c r="I9">
        <f t="shared" ref="I9:I60" si="0">I8+1</f>
        <v>5</v>
      </c>
      <c r="J9" s="124" t="s">
        <v>3145</v>
      </c>
      <c r="K9" t="s">
        <v>2946</v>
      </c>
      <c r="N9" t="s">
        <v>3106</v>
      </c>
      <c r="O9">
        <v>12</v>
      </c>
      <c r="P9">
        <v>0</v>
      </c>
      <c r="Q9" t="s">
        <v>3054</v>
      </c>
      <c r="S9">
        <v>0</v>
      </c>
      <c r="T9" t="s">
        <v>3017</v>
      </c>
      <c r="U9" t="s">
        <v>3036</v>
      </c>
      <c r="W9">
        <v>13</v>
      </c>
      <c r="AF9">
        <v>100</v>
      </c>
    </row>
    <row r="10" spans="1:32" x14ac:dyDescent="0.3">
      <c r="A10" s="35" t="s">
        <v>2844</v>
      </c>
      <c r="B10" s="36" t="s">
        <v>2845</v>
      </c>
      <c r="C10" s="19" t="s">
        <v>2846</v>
      </c>
      <c r="D10" s="35" t="s">
        <v>2846</v>
      </c>
      <c r="E10" s="23">
        <v>255</v>
      </c>
      <c r="F10" s="23">
        <v>255</v>
      </c>
      <c r="G10" s="23">
        <v>0</v>
      </c>
      <c r="H10" s="26" t="s">
        <v>2847</v>
      </c>
      <c r="I10">
        <f t="shared" si="0"/>
        <v>6</v>
      </c>
      <c r="J10" s="124" t="s">
        <v>3145</v>
      </c>
      <c r="K10" t="s">
        <v>2947</v>
      </c>
      <c r="O10">
        <v>6</v>
      </c>
      <c r="P10">
        <v>0</v>
      </c>
      <c r="S10">
        <v>0</v>
      </c>
      <c r="T10" t="s">
        <v>3018</v>
      </c>
      <c r="U10" t="s">
        <v>3037</v>
      </c>
      <c r="W10">
        <v>14</v>
      </c>
      <c r="Y10">
        <v>0</v>
      </c>
      <c r="Z10" t="s">
        <v>3058</v>
      </c>
      <c r="AF10">
        <v>93</v>
      </c>
    </row>
    <row r="11" spans="1:32" ht="28.8" x14ac:dyDescent="0.3">
      <c r="A11" s="37" t="s">
        <v>2848</v>
      </c>
      <c r="B11" s="38" t="s">
        <v>2849</v>
      </c>
      <c r="C11" s="19" t="s">
        <v>2850</v>
      </c>
      <c r="D11" s="37" t="s">
        <v>2850</v>
      </c>
      <c r="E11" s="23">
        <v>255</v>
      </c>
      <c r="F11" s="23">
        <v>0</v>
      </c>
      <c r="G11" s="23">
        <v>255</v>
      </c>
      <c r="H11" s="26" t="s">
        <v>2851</v>
      </c>
      <c r="I11">
        <f t="shared" si="0"/>
        <v>7</v>
      </c>
      <c r="J11" s="124" t="str">
        <f t="shared" ref="J11:J60" si="1">"RGB(" &amp; E11 &amp; ", " &amp; F11 &amp; ", " &amp; G11 &amp; ")"</f>
        <v>RGB(255, 0, 255)</v>
      </c>
      <c r="K11" t="s">
        <v>2948</v>
      </c>
      <c r="N11" t="s">
        <v>3103</v>
      </c>
      <c r="O11">
        <v>12</v>
      </c>
      <c r="P11">
        <v>0</v>
      </c>
      <c r="Q11" t="s">
        <v>3054</v>
      </c>
      <c r="S11">
        <v>0</v>
      </c>
      <c r="T11" t="s">
        <v>3019</v>
      </c>
      <c r="U11" t="s">
        <v>3038</v>
      </c>
      <c r="W11">
        <v>15</v>
      </c>
      <c r="Z11" t="s">
        <v>3131</v>
      </c>
    </row>
    <row r="12" spans="1:32" x14ac:dyDescent="0.3">
      <c r="A12" s="39" t="s">
        <v>2852</v>
      </c>
      <c r="B12" s="40" t="s">
        <v>2853</v>
      </c>
      <c r="C12" s="19" t="s">
        <v>2854</v>
      </c>
      <c r="D12" s="39" t="s">
        <v>2854</v>
      </c>
      <c r="E12" s="23">
        <v>0</v>
      </c>
      <c r="F12" s="23">
        <v>255</v>
      </c>
      <c r="G12" s="23">
        <v>255</v>
      </c>
      <c r="H12" s="26" t="s">
        <v>2855</v>
      </c>
      <c r="I12">
        <f t="shared" si="0"/>
        <v>8</v>
      </c>
      <c r="J12" s="124" t="str">
        <f t="shared" si="1"/>
        <v>RGB(0, 255, 255)</v>
      </c>
      <c r="K12" t="s">
        <v>2949</v>
      </c>
      <c r="N12" t="s">
        <v>3044</v>
      </c>
      <c r="O12">
        <v>5</v>
      </c>
      <c r="P12">
        <v>1</v>
      </c>
      <c r="S12">
        <v>0</v>
      </c>
      <c r="T12" t="s">
        <v>3020</v>
      </c>
      <c r="U12" t="s">
        <v>3039</v>
      </c>
      <c r="W12">
        <v>16</v>
      </c>
      <c r="Z12" t="s">
        <v>3132</v>
      </c>
    </row>
    <row r="13" spans="1:32" x14ac:dyDescent="0.3">
      <c r="A13" s="41" t="s">
        <v>2856</v>
      </c>
      <c r="B13" s="42" t="s">
        <v>2856</v>
      </c>
      <c r="C13" s="19" t="s">
        <v>2857</v>
      </c>
      <c r="D13" s="41" t="s">
        <v>2857</v>
      </c>
      <c r="E13" s="23">
        <v>128</v>
      </c>
      <c r="F13" s="23">
        <v>0</v>
      </c>
      <c r="G13" s="23">
        <v>0</v>
      </c>
      <c r="H13" s="19" t="s">
        <v>2856</v>
      </c>
      <c r="I13">
        <f t="shared" si="0"/>
        <v>9</v>
      </c>
      <c r="J13" s="124" t="str">
        <f t="shared" si="1"/>
        <v>RGB(128, 0, 0)</v>
      </c>
      <c r="K13" t="s">
        <v>2950</v>
      </c>
      <c r="N13" t="s">
        <v>3047</v>
      </c>
      <c r="O13" t="s">
        <v>3054</v>
      </c>
      <c r="T13" t="s">
        <v>3021</v>
      </c>
      <c r="U13" t="s">
        <v>3040</v>
      </c>
      <c r="W13">
        <v>20</v>
      </c>
    </row>
    <row r="14" spans="1:32" ht="28.8" x14ac:dyDescent="0.3">
      <c r="A14" s="43" t="s">
        <v>2858</v>
      </c>
      <c r="B14" s="44" t="s">
        <v>2858</v>
      </c>
      <c r="C14" s="19" t="s">
        <v>2859</v>
      </c>
      <c r="D14" s="43" t="s">
        <v>2859</v>
      </c>
      <c r="E14" s="23">
        <v>0</v>
      </c>
      <c r="F14" s="23">
        <v>128</v>
      </c>
      <c r="G14" s="23">
        <v>0</v>
      </c>
      <c r="H14" s="19" t="s">
        <v>2858</v>
      </c>
      <c r="I14">
        <f t="shared" si="0"/>
        <v>10</v>
      </c>
      <c r="J14" s="124" t="str">
        <f t="shared" si="1"/>
        <v>RGB(0, 128, 0)</v>
      </c>
      <c r="K14" t="s">
        <v>2951</v>
      </c>
      <c r="O14" t="s">
        <v>3006</v>
      </c>
      <c r="T14" t="s">
        <v>3022</v>
      </c>
      <c r="U14" t="s">
        <v>3041</v>
      </c>
      <c r="Y14" t="s">
        <v>3141</v>
      </c>
    </row>
    <row r="15" spans="1:32" ht="28.8" x14ac:dyDescent="0.3">
      <c r="A15" s="45" t="s">
        <v>2860</v>
      </c>
      <c r="B15" s="46" t="s">
        <v>2860</v>
      </c>
      <c r="C15" s="19" t="s">
        <v>2861</v>
      </c>
      <c r="D15" s="45" t="s">
        <v>2861</v>
      </c>
      <c r="E15" s="23">
        <v>0</v>
      </c>
      <c r="F15" s="23">
        <v>0</v>
      </c>
      <c r="G15" s="23">
        <v>128</v>
      </c>
      <c r="H15" s="19" t="s">
        <v>2860</v>
      </c>
      <c r="I15">
        <f t="shared" si="0"/>
        <v>11</v>
      </c>
      <c r="J15" s="124" t="str">
        <f t="shared" si="1"/>
        <v>RGB(0, 0, 128)</v>
      </c>
      <c r="K15" t="s">
        <v>2952</v>
      </c>
      <c r="N15" t="s">
        <v>3005</v>
      </c>
      <c r="O15">
        <v>1</v>
      </c>
      <c r="T15" t="s">
        <v>3023</v>
      </c>
      <c r="U15" t="s">
        <v>3042</v>
      </c>
      <c r="Y15" t="s">
        <v>3142</v>
      </c>
    </row>
    <row r="16" spans="1:32" ht="28.8" x14ac:dyDescent="0.3">
      <c r="A16" s="47" t="s">
        <v>2862</v>
      </c>
      <c r="B16" s="48" t="s">
        <v>2862</v>
      </c>
      <c r="C16" s="19" t="s">
        <v>2863</v>
      </c>
      <c r="D16" s="47" t="s">
        <v>2863</v>
      </c>
      <c r="E16" s="23">
        <v>128</v>
      </c>
      <c r="F16" s="23">
        <v>128</v>
      </c>
      <c r="G16" s="23">
        <v>0</v>
      </c>
      <c r="H16" s="19" t="s">
        <v>2862</v>
      </c>
      <c r="I16">
        <f t="shared" si="0"/>
        <v>12</v>
      </c>
      <c r="J16" s="124" t="str">
        <f t="shared" si="1"/>
        <v>RGB(128, 128, 0)</v>
      </c>
      <c r="K16" t="s">
        <v>2953</v>
      </c>
      <c r="O16" t="s">
        <v>3008</v>
      </c>
      <c r="P16" t="s">
        <v>3009</v>
      </c>
      <c r="T16" t="s">
        <v>3024</v>
      </c>
      <c r="U16" t="s">
        <v>3043</v>
      </c>
    </row>
    <row r="17" spans="1:21" ht="14.4" customHeight="1" x14ac:dyDescent="0.3">
      <c r="A17" s="49" t="s">
        <v>2864</v>
      </c>
      <c r="B17" s="50" t="s">
        <v>2864</v>
      </c>
      <c r="C17" s="19" t="s">
        <v>2865</v>
      </c>
      <c r="D17" s="49" t="s">
        <v>2865</v>
      </c>
      <c r="E17" s="23">
        <v>128</v>
      </c>
      <c r="F17" s="23">
        <v>0</v>
      </c>
      <c r="G17" s="23">
        <v>128</v>
      </c>
      <c r="H17" s="19" t="s">
        <v>2864</v>
      </c>
      <c r="I17">
        <f t="shared" si="0"/>
        <v>13</v>
      </c>
      <c r="J17" s="124" t="str">
        <f t="shared" si="1"/>
        <v>RGB(128, 0, 128)</v>
      </c>
      <c r="K17" t="s">
        <v>2954</v>
      </c>
      <c r="N17" t="s">
        <v>3007</v>
      </c>
      <c r="O17" t="b">
        <v>1</v>
      </c>
      <c r="P17" t="s">
        <v>3057</v>
      </c>
      <c r="T17" t="s">
        <v>3112</v>
      </c>
      <c r="U17" t="s">
        <v>3062</v>
      </c>
    </row>
    <row r="18" spans="1:21" ht="15" customHeight="1" x14ac:dyDescent="0.3">
      <c r="A18" s="51" t="s">
        <v>2866</v>
      </c>
      <c r="B18" s="52" t="s">
        <v>2866</v>
      </c>
      <c r="C18" s="19" t="s">
        <v>2867</v>
      </c>
      <c r="D18" s="51" t="s">
        <v>2867</v>
      </c>
      <c r="E18" s="23">
        <v>0</v>
      </c>
      <c r="F18" s="23">
        <v>128</v>
      </c>
      <c r="G18" s="23">
        <v>128</v>
      </c>
      <c r="H18" s="19" t="s">
        <v>2866</v>
      </c>
      <c r="I18">
        <f t="shared" si="0"/>
        <v>14</v>
      </c>
      <c r="J18" s="124" t="str">
        <f t="shared" si="1"/>
        <v>RGB(0, 128, 128)</v>
      </c>
      <c r="K18" t="s">
        <v>2955</v>
      </c>
      <c r="N18" t="s">
        <v>3063</v>
      </c>
      <c r="O18" t="s">
        <v>3076</v>
      </c>
      <c r="T18" t="s">
        <v>3126</v>
      </c>
      <c r="U18" t="s">
        <v>3105</v>
      </c>
    </row>
    <row r="19" spans="1:21" ht="15" customHeight="1" x14ac:dyDescent="0.3">
      <c r="A19" s="53" t="s">
        <v>2868</v>
      </c>
      <c r="B19" s="54" t="s">
        <v>2868</v>
      </c>
      <c r="C19" s="19" t="s">
        <v>2869</v>
      </c>
      <c r="D19" s="53" t="s">
        <v>2869</v>
      </c>
      <c r="E19" s="23">
        <v>192</v>
      </c>
      <c r="F19" s="23">
        <v>192</v>
      </c>
      <c r="G19" s="23">
        <v>192</v>
      </c>
      <c r="H19" s="19" t="s">
        <v>2868</v>
      </c>
      <c r="I19">
        <f t="shared" si="0"/>
        <v>15</v>
      </c>
      <c r="J19" s="124" t="str">
        <f t="shared" si="1"/>
        <v>RGB(192, 192, 192)</v>
      </c>
      <c r="K19" t="s">
        <v>2959</v>
      </c>
      <c r="N19" t="s">
        <v>3100</v>
      </c>
      <c r="O19">
        <v>11</v>
      </c>
      <c r="P19">
        <v>1</v>
      </c>
      <c r="S19">
        <v>0</v>
      </c>
      <c r="T19" t="s">
        <v>3025</v>
      </c>
      <c r="U19" t="s">
        <v>3104</v>
      </c>
    </row>
    <row r="20" spans="1:21" ht="15" customHeight="1" x14ac:dyDescent="0.3">
      <c r="A20" s="55" t="s">
        <v>2870</v>
      </c>
      <c r="B20" s="56" t="s">
        <v>2870</v>
      </c>
      <c r="C20" s="19" t="s">
        <v>2871</v>
      </c>
      <c r="D20" s="55" t="s">
        <v>2871</v>
      </c>
      <c r="E20" s="23">
        <v>128</v>
      </c>
      <c r="F20" s="23">
        <v>128</v>
      </c>
      <c r="G20" s="23">
        <v>128</v>
      </c>
      <c r="H20" s="19" t="s">
        <v>2870</v>
      </c>
      <c r="I20">
        <f t="shared" si="0"/>
        <v>16</v>
      </c>
      <c r="J20" s="124" t="str">
        <f t="shared" si="1"/>
        <v>RGB(128, 128, 128)</v>
      </c>
      <c r="K20" t="s">
        <v>2956</v>
      </c>
      <c r="N20" t="s">
        <v>3101</v>
      </c>
      <c r="O20">
        <v>13</v>
      </c>
      <c r="P20">
        <v>3</v>
      </c>
      <c r="S20">
        <v>0</v>
      </c>
      <c r="T20" t="s">
        <v>3059</v>
      </c>
      <c r="U20" t="s">
        <v>3045</v>
      </c>
    </row>
    <row r="21" spans="1:21" ht="15" customHeight="1" x14ac:dyDescent="0.3">
      <c r="A21" s="57" t="s">
        <v>2872</v>
      </c>
      <c r="B21" s="58" t="s">
        <v>2872</v>
      </c>
      <c r="C21" s="19" t="s">
        <v>2873</v>
      </c>
      <c r="D21" s="57" t="s">
        <v>2873</v>
      </c>
      <c r="E21" s="23">
        <v>153</v>
      </c>
      <c r="F21" s="23">
        <v>153</v>
      </c>
      <c r="G21" s="23">
        <v>255</v>
      </c>
      <c r="H21" s="19" t="s">
        <v>2872</v>
      </c>
      <c r="I21">
        <f t="shared" si="0"/>
        <v>17</v>
      </c>
      <c r="J21" s="124" t="str">
        <f t="shared" si="1"/>
        <v>RGB(153, 153, 255)</v>
      </c>
      <c r="K21" t="s">
        <v>2957</v>
      </c>
      <c r="N21" t="s">
        <v>3102</v>
      </c>
      <c r="O21">
        <v>13</v>
      </c>
      <c r="P21">
        <v>4</v>
      </c>
      <c r="S21">
        <v>0</v>
      </c>
      <c r="T21" t="s">
        <v>3026</v>
      </c>
      <c r="U21" t="s">
        <v>3046</v>
      </c>
    </row>
    <row r="22" spans="1:21" ht="15" customHeight="1" x14ac:dyDescent="0.3">
      <c r="A22" s="59" t="s">
        <v>2874</v>
      </c>
      <c r="B22" s="60" t="s">
        <v>2874</v>
      </c>
      <c r="C22" s="19" t="s">
        <v>2875</v>
      </c>
      <c r="D22" s="59" t="s">
        <v>2875</v>
      </c>
      <c r="E22" s="23">
        <v>153</v>
      </c>
      <c r="F22" s="23">
        <v>51</v>
      </c>
      <c r="G22" s="23">
        <v>102</v>
      </c>
      <c r="H22" s="19" t="s">
        <v>2874</v>
      </c>
      <c r="I22">
        <f t="shared" si="0"/>
        <v>18</v>
      </c>
      <c r="J22" s="124" t="str">
        <f t="shared" si="1"/>
        <v>RGB(153, 51, 102)</v>
      </c>
      <c r="K22" t="s">
        <v>2960</v>
      </c>
      <c r="N22" t="s">
        <v>3079</v>
      </c>
      <c r="O22">
        <v>12</v>
      </c>
      <c r="P22">
        <v>0</v>
      </c>
      <c r="S22">
        <v>0</v>
      </c>
      <c r="T22" t="s">
        <v>3027</v>
      </c>
      <c r="U22" t="s">
        <v>3048</v>
      </c>
    </row>
    <row r="23" spans="1:21" ht="15" customHeight="1" x14ac:dyDescent="0.3">
      <c r="A23" s="61" t="s">
        <v>2876</v>
      </c>
      <c r="B23" s="62" t="s">
        <v>2876</v>
      </c>
      <c r="C23" s="19" t="s">
        <v>2877</v>
      </c>
      <c r="D23" s="61" t="s">
        <v>2877</v>
      </c>
      <c r="E23" s="23">
        <v>255</v>
      </c>
      <c r="F23" s="23">
        <v>255</v>
      </c>
      <c r="G23" s="23">
        <v>204</v>
      </c>
      <c r="H23" s="19" t="s">
        <v>2876</v>
      </c>
      <c r="I23">
        <f t="shared" si="0"/>
        <v>19</v>
      </c>
      <c r="J23" s="124" t="str">
        <f t="shared" si="1"/>
        <v>RGB(255, 255, 204)</v>
      </c>
      <c r="K23" t="s">
        <v>2961</v>
      </c>
      <c r="N23" t="s">
        <v>3081</v>
      </c>
      <c r="O23">
        <v>12</v>
      </c>
      <c r="P23">
        <v>1</v>
      </c>
      <c r="S23">
        <v>0</v>
      </c>
      <c r="T23" t="s">
        <v>3028</v>
      </c>
      <c r="U23" t="s">
        <v>3049</v>
      </c>
    </row>
    <row r="24" spans="1:21" ht="15" customHeight="1" x14ac:dyDescent="0.3">
      <c r="A24" s="63" t="s">
        <v>2878</v>
      </c>
      <c r="B24" s="64" t="s">
        <v>2878</v>
      </c>
      <c r="C24" s="19" t="s">
        <v>2879</v>
      </c>
      <c r="D24" s="63" t="s">
        <v>2879</v>
      </c>
      <c r="E24" s="23">
        <v>204</v>
      </c>
      <c r="F24" s="23">
        <v>255</v>
      </c>
      <c r="G24" s="23">
        <v>255</v>
      </c>
      <c r="H24" s="19" t="s">
        <v>2878</v>
      </c>
      <c r="I24">
        <f t="shared" si="0"/>
        <v>20</v>
      </c>
      <c r="J24" s="124" t="str">
        <f t="shared" si="1"/>
        <v>RGB(204, 255, 255)</v>
      </c>
      <c r="K24" t="s">
        <v>2962</v>
      </c>
      <c r="N24" t="s">
        <v>3108</v>
      </c>
      <c r="O24">
        <v>12</v>
      </c>
      <c r="P24">
        <v>1</v>
      </c>
      <c r="S24">
        <v>0</v>
      </c>
      <c r="T24" t="s">
        <v>3060</v>
      </c>
      <c r="U24" t="s">
        <v>3050</v>
      </c>
    </row>
    <row r="25" spans="1:21" ht="15" customHeight="1" x14ac:dyDescent="0.3">
      <c r="A25" s="65" t="s">
        <v>2880</v>
      </c>
      <c r="B25" s="66" t="s">
        <v>2880</v>
      </c>
      <c r="C25" s="19" t="s">
        <v>2881</v>
      </c>
      <c r="D25" s="65" t="s">
        <v>2881</v>
      </c>
      <c r="E25" s="23">
        <v>102</v>
      </c>
      <c r="F25" s="23">
        <v>0</v>
      </c>
      <c r="G25" s="23">
        <v>102</v>
      </c>
      <c r="H25" s="19" t="s">
        <v>2880</v>
      </c>
      <c r="I25">
        <f t="shared" si="0"/>
        <v>21</v>
      </c>
      <c r="J25" s="124" t="str">
        <f t="shared" si="1"/>
        <v>RGB(102, 0, 102)</v>
      </c>
      <c r="K25" t="s">
        <v>2963</v>
      </c>
      <c r="N25" t="s">
        <v>3109</v>
      </c>
      <c r="O25">
        <v>12</v>
      </c>
      <c r="P25">
        <v>0</v>
      </c>
      <c r="T25" t="s">
        <v>3061</v>
      </c>
      <c r="U25" t="s">
        <v>3051</v>
      </c>
    </row>
    <row r="26" spans="1:21" ht="15" customHeight="1" x14ac:dyDescent="0.3">
      <c r="A26" s="67" t="s">
        <v>2882</v>
      </c>
      <c r="B26" s="68" t="s">
        <v>2882</v>
      </c>
      <c r="C26" s="19" t="s">
        <v>2883</v>
      </c>
      <c r="D26" s="67" t="s">
        <v>2883</v>
      </c>
      <c r="E26" s="23">
        <v>255</v>
      </c>
      <c r="F26" s="23">
        <v>128</v>
      </c>
      <c r="G26" s="23">
        <v>128</v>
      </c>
      <c r="H26" s="19" t="s">
        <v>2882</v>
      </c>
      <c r="I26">
        <f t="shared" si="0"/>
        <v>22</v>
      </c>
      <c r="J26" s="124" t="str">
        <f t="shared" si="1"/>
        <v>RGB(255, 128, 128)</v>
      </c>
      <c r="K26" t="s">
        <v>2964</v>
      </c>
      <c r="N26" t="s">
        <v>3098</v>
      </c>
      <c r="O26">
        <v>12</v>
      </c>
      <c r="P26">
        <v>0</v>
      </c>
      <c r="T26" t="s">
        <v>3064</v>
      </c>
      <c r="U26" t="s">
        <v>3065</v>
      </c>
    </row>
    <row r="27" spans="1:21" ht="15" customHeight="1" x14ac:dyDescent="0.3">
      <c r="A27" s="69" t="s">
        <v>2884</v>
      </c>
      <c r="B27" s="70" t="s">
        <v>2884</v>
      </c>
      <c r="C27" s="19" t="s">
        <v>2885</v>
      </c>
      <c r="D27" s="69" t="s">
        <v>2885</v>
      </c>
      <c r="E27" s="23">
        <v>0</v>
      </c>
      <c r="F27" s="23">
        <v>102</v>
      </c>
      <c r="G27" s="23">
        <v>204</v>
      </c>
      <c r="H27" s="19" t="s">
        <v>2884</v>
      </c>
      <c r="I27">
        <f t="shared" si="0"/>
        <v>23</v>
      </c>
      <c r="J27" s="124" t="str">
        <f t="shared" si="1"/>
        <v>RGB(0, 102, 204)</v>
      </c>
      <c r="K27" t="s">
        <v>2965</v>
      </c>
      <c r="N27" t="s">
        <v>3113</v>
      </c>
      <c r="P27">
        <v>2</v>
      </c>
      <c r="T27" t="s">
        <v>3117</v>
      </c>
      <c r="U27" t="s">
        <v>3121</v>
      </c>
    </row>
    <row r="28" spans="1:21" ht="15" customHeight="1" x14ac:dyDescent="0.3">
      <c r="A28" s="71" t="s">
        <v>2886</v>
      </c>
      <c r="B28" s="72" t="s">
        <v>2886</v>
      </c>
      <c r="C28" s="19" t="s">
        <v>2887</v>
      </c>
      <c r="D28" s="71" t="s">
        <v>2887</v>
      </c>
      <c r="E28" s="23">
        <v>204</v>
      </c>
      <c r="F28" s="23">
        <v>204</v>
      </c>
      <c r="G28" s="23">
        <v>255</v>
      </c>
      <c r="H28" s="19" t="s">
        <v>2886</v>
      </c>
      <c r="I28">
        <f t="shared" si="0"/>
        <v>24</v>
      </c>
      <c r="J28" s="124" t="str">
        <f t="shared" si="1"/>
        <v>RGB(204, 204, 255)</v>
      </c>
      <c r="K28" t="s">
        <v>2966</v>
      </c>
      <c r="N28" t="s">
        <v>3114</v>
      </c>
      <c r="P28">
        <v>3</v>
      </c>
      <c r="T28" t="s">
        <v>3118</v>
      </c>
      <c r="U28" t="s">
        <v>3122</v>
      </c>
    </row>
    <row r="29" spans="1:21" ht="15" customHeight="1" x14ac:dyDescent="0.3">
      <c r="A29" s="45" t="s">
        <v>2888</v>
      </c>
      <c r="B29" s="46" t="s">
        <v>2888</v>
      </c>
      <c r="C29" s="19" t="s">
        <v>2861</v>
      </c>
      <c r="D29" s="45" t="s">
        <v>2861</v>
      </c>
      <c r="E29" s="23">
        <v>0</v>
      </c>
      <c r="F29" s="23">
        <v>0</v>
      </c>
      <c r="G29" s="23">
        <v>128</v>
      </c>
      <c r="H29" s="19" t="s">
        <v>2888</v>
      </c>
      <c r="I29">
        <f t="shared" si="0"/>
        <v>25</v>
      </c>
      <c r="J29" s="124" t="str">
        <f t="shared" si="1"/>
        <v>RGB(0, 0, 128)</v>
      </c>
      <c r="K29" t="s">
        <v>2967</v>
      </c>
      <c r="N29" t="s">
        <v>3115</v>
      </c>
      <c r="P29">
        <v>4</v>
      </c>
      <c r="T29" t="s">
        <v>3119</v>
      </c>
      <c r="U29" t="s">
        <v>3123</v>
      </c>
    </row>
    <row r="30" spans="1:21" ht="15" customHeight="1" x14ac:dyDescent="0.3">
      <c r="A30" s="37" t="s">
        <v>2889</v>
      </c>
      <c r="B30" s="38" t="s">
        <v>2889</v>
      </c>
      <c r="C30" s="19" t="s">
        <v>2850</v>
      </c>
      <c r="D30" s="37" t="s">
        <v>2850</v>
      </c>
      <c r="E30" s="23">
        <v>255</v>
      </c>
      <c r="F30" s="23">
        <v>0</v>
      </c>
      <c r="G30" s="23">
        <v>255</v>
      </c>
      <c r="H30" s="19" t="s">
        <v>2889</v>
      </c>
      <c r="I30">
        <f t="shared" si="0"/>
        <v>26</v>
      </c>
      <c r="J30" s="124" t="str">
        <f t="shared" si="1"/>
        <v>RGB(255, 0, 255)</v>
      </c>
      <c r="K30" t="s">
        <v>2968</v>
      </c>
      <c r="N30" t="s">
        <v>3116</v>
      </c>
      <c r="P30">
        <v>5</v>
      </c>
      <c r="T30" t="s">
        <v>3120</v>
      </c>
      <c r="U30" t="s">
        <v>3124</v>
      </c>
    </row>
    <row r="31" spans="1:21" ht="15" customHeight="1" x14ac:dyDescent="0.3">
      <c r="A31" s="35" t="s">
        <v>2890</v>
      </c>
      <c r="B31" s="36" t="s">
        <v>2890</v>
      </c>
      <c r="C31" s="19" t="s">
        <v>2846</v>
      </c>
      <c r="D31" s="35" t="s">
        <v>2846</v>
      </c>
      <c r="E31" s="23">
        <v>255</v>
      </c>
      <c r="F31" s="23">
        <v>255</v>
      </c>
      <c r="G31" s="23">
        <v>0</v>
      </c>
      <c r="H31" s="19" t="s">
        <v>2890</v>
      </c>
      <c r="I31">
        <f t="shared" si="0"/>
        <v>27</v>
      </c>
      <c r="J31" s="124" t="str">
        <f t="shared" si="1"/>
        <v>RGB(255, 255, 0)</v>
      </c>
      <c r="K31" t="s">
        <v>2969</v>
      </c>
      <c r="N31" t="s">
        <v>3128</v>
      </c>
      <c r="O31" t="s">
        <v>3129</v>
      </c>
      <c r="T31" t="s">
        <v>3133</v>
      </c>
      <c r="U31" t="s">
        <v>3134</v>
      </c>
    </row>
    <row r="32" spans="1:21" ht="15" customHeight="1" x14ac:dyDescent="0.3">
      <c r="A32" s="39" t="s">
        <v>2891</v>
      </c>
      <c r="B32" s="40" t="s">
        <v>2891</v>
      </c>
      <c r="C32" s="19" t="s">
        <v>2854</v>
      </c>
      <c r="D32" s="39" t="s">
        <v>2854</v>
      </c>
      <c r="E32" s="23">
        <v>0</v>
      </c>
      <c r="F32" s="23">
        <v>255</v>
      </c>
      <c r="G32" s="23">
        <v>255</v>
      </c>
      <c r="H32" s="19" t="s">
        <v>2891</v>
      </c>
      <c r="I32">
        <f t="shared" si="0"/>
        <v>28</v>
      </c>
      <c r="J32" s="124" t="str">
        <f t="shared" si="1"/>
        <v>RGB(0, 255, 255)</v>
      </c>
      <c r="K32" t="s">
        <v>2970</v>
      </c>
      <c r="N32" t="s">
        <v>3150</v>
      </c>
      <c r="O32">
        <v>10</v>
      </c>
      <c r="P32">
        <v>1</v>
      </c>
      <c r="Q32" t="b">
        <v>0</v>
      </c>
      <c r="T32" t="s">
        <v>3152</v>
      </c>
      <c r="U32" t="s">
        <v>3153</v>
      </c>
    </row>
    <row r="33" spans="1:21" ht="15" customHeight="1" x14ac:dyDescent="0.3">
      <c r="A33" s="49" t="s">
        <v>2892</v>
      </c>
      <c r="B33" s="50" t="s">
        <v>2892</v>
      </c>
      <c r="C33" s="19" t="s">
        <v>2865</v>
      </c>
      <c r="D33" s="49" t="s">
        <v>2865</v>
      </c>
      <c r="E33" s="23">
        <v>128</v>
      </c>
      <c r="F33" s="23">
        <v>0</v>
      </c>
      <c r="G33" s="23">
        <v>128</v>
      </c>
      <c r="H33" s="19" t="s">
        <v>2892</v>
      </c>
      <c r="I33">
        <f t="shared" si="0"/>
        <v>29</v>
      </c>
      <c r="J33" s="124" t="str">
        <f t="shared" si="1"/>
        <v>RGB(128, 0, 128)</v>
      </c>
      <c r="K33" t="s">
        <v>2971</v>
      </c>
      <c r="N33" t="s">
        <v>3080</v>
      </c>
      <c r="O33">
        <v>12</v>
      </c>
      <c r="P33">
        <v>1</v>
      </c>
      <c r="Q33" t="b">
        <v>0</v>
      </c>
      <c r="T33" t="s">
        <v>3154</v>
      </c>
      <c r="U33" t="s">
        <v>3155</v>
      </c>
    </row>
    <row r="34" spans="1:21" ht="28.8" x14ac:dyDescent="0.3">
      <c r="A34" s="41" t="s">
        <v>2893</v>
      </c>
      <c r="B34" s="42" t="s">
        <v>2893</v>
      </c>
      <c r="C34" s="19" t="s">
        <v>2857</v>
      </c>
      <c r="D34" s="41" t="s">
        <v>2857</v>
      </c>
      <c r="E34" s="23">
        <v>128</v>
      </c>
      <c r="F34" s="23">
        <v>0</v>
      </c>
      <c r="G34" s="23">
        <v>0</v>
      </c>
      <c r="H34" s="19" t="s">
        <v>2893</v>
      </c>
      <c r="I34">
        <f t="shared" si="0"/>
        <v>30</v>
      </c>
      <c r="J34" s="124" t="str">
        <f t="shared" si="1"/>
        <v>RGB(128, 0, 0)</v>
      </c>
      <c r="K34" t="s">
        <v>2972</v>
      </c>
      <c r="N34" t="s">
        <v>3151</v>
      </c>
      <c r="O34">
        <v>10</v>
      </c>
      <c r="P34">
        <v>1</v>
      </c>
      <c r="Q34" t="b">
        <v>0</v>
      </c>
      <c r="T34" t="s">
        <v>3156</v>
      </c>
      <c r="U34" t="s">
        <v>3157</v>
      </c>
    </row>
    <row r="35" spans="1:21" ht="28.8" x14ac:dyDescent="0.3">
      <c r="A35" s="51" t="s">
        <v>2894</v>
      </c>
      <c r="B35" s="52" t="s">
        <v>2894</v>
      </c>
      <c r="C35" s="19" t="s">
        <v>2867</v>
      </c>
      <c r="D35" s="51" t="s">
        <v>2867</v>
      </c>
      <c r="E35" s="23">
        <v>0</v>
      </c>
      <c r="F35" s="23">
        <v>128</v>
      </c>
      <c r="G35" s="23">
        <v>128</v>
      </c>
      <c r="H35" s="19" t="s">
        <v>2894</v>
      </c>
      <c r="I35">
        <f t="shared" si="0"/>
        <v>31</v>
      </c>
      <c r="J35" s="124" t="str">
        <f t="shared" si="1"/>
        <v>RGB(0, 128, 128)</v>
      </c>
      <c r="K35" t="s">
        <v>2973</v>
      </c>
      <c r="N35" t="s">
        <v>3082</v>
      </c>
      <c r="O35">
        <v>12</v>
      </c>
      <c r="P35">
        <v>1</v>
      </c>
      <c r="Q35" t="b">
        <v>0</v>
      </c>
      <c r="T35" t="s">
        <v>3158</v>
      </c>
      <c r="U35" t="s">
        <v>3161</v>
      </c>
    </row>
    <row r="36" spans="1:21" ht="28.8" x14ac:dyDescent="0.3">
      <c r="A36" s="33" t="s">
        <v>2895</v>
      </c>
      <c r="B36" s="34" t="s">
        <v>2895</v>
      </c>
      <c r="C36" s="19" t="s">
        <v>2842</v>
      </c>
      <c r="D36" s="33" t="s">
        <v>2842</v>
      </c>
      <c r="E36" s="23">
        <v>0</v>
      </c>
      <c r="F36" s="23">
        <v>0</v>
      </c>
      <c r="G36" s="23">
        <v>255</v>
      </c>
      <c r="H36" s="19" t="s">
        <v>2895</v>
      </c>
      <c r="I36">
        <f t="shared" si="0"/>
        <v>32</v>
      </c>
      <c r="J36" s="124" t="str">
        <f t="shared" si="1"/>
        <v>RGB(0, 0, 255)</v>
      </c>
      <c r="K36" t="s">
        <v>2974</v>
      </c>
      <c r="T36" t="s">
        <v>3159</v>
      </c>
      <c r="U36" t="s">
        <v>3162</v>
      </c>
    </row>
    <row r="37" spans="1:21" ht="28.8" x14ac:dyDescent="0.3">
      <c r="A37" s="73" t="s">
        <v>2896</v>
      </c>
      <c r="B37" s="74" t="s">
        <v>2896</v>
      </c>
      <c r="C37" s="19" t="s">
        <v>2897</v>
      </c>
      <c r="D37" s="73" t="s">
        <v>2897</v>
      </c>
      <c r="E37" s="23">
        <v>0</v>
      </c>
      <c r="F37" s="23">
        <v>204</v>
      </c>
      <c r="G37" s="23">
        <v>255</v>
      </c>
      <c r="H37" s="19" t="s">
        <v>2896</v>
      </c>
      <c r="I37">
        <f t="shared" si="0"/>
        <v>33</v>
      </c>
      <c r="J37" s="124" t="str">
        <f t="shared" si="1"/>
        <v>RGB(0, 204, 255)</v>
      </c>
      <c r="K37" t="s">
        <v>2975</v>
      </c>
      <c r="T37" t="s">
        <v>3160</v>
      </c>
      <c r="U37" t="s">
        <v>3163</v>
      </c>
    </row>
    <row r="38" spans="1:21" ht="28.8" x14ac:dyDescent="0.3">
      <c r="A38" s="63" t="s">
        <v>2898</v>
      </c>
      <c r="B38" s="64" t="s">
        <v>2898</v>
      </c>
      <c r="C38" s="19" t="s">
        <v>2879</v>
      </c>
      <c r="D38" s="63" t="s">
        <v>2879</v>
      </c>
      <c r="E38" s="23">
        <v>204</v>
      </c>
      <c r="F38" s="23">
        <v>255</v>
      </c>
      <c r="G38" s="23">
        <v>255</v>
      </c>
      <c r="H38" s="19" t="s">
        <v>2898</v>
      </c>
      <c r="I38">
        <f t="shared" si="0"/>
        <v>34</v>
      </c>
      <c r="J38" s="124" t="str">
        <f t="shared" si="1"/>
        <v>RGB(204, 255, 255)</v>
      </c>
      <c r="K38" t="s">
        <v>2976</v>
      </c>
    </row>
    <row r="39" spans="1:21" ht="28.8" x14ac:dyDescent="0.3">
      <c r="A39" s="75" t="s">
        <v>2899</v>
      </c>
      <c r="B39" s="76" t="s">
        <v>2899</v>
      </c>
      <c r="C39" s="19" t="s">
        <v>2900</v>
      </c>
      <c r="D39" s="75" t="s">
        <v>2900</v>
      </c>
      <c r="E39" s="23">
        <v>204</v>
      </c>
      <c r="F39" s="23">
        <v>255</v>
      </c>
      <c r="G39" s="23">
        <v>204</v>
      </c>
      <c r="H39" s="19" t="s">
        <v>2899</v>
      </c>
      <c r="I39">
        <f t="shared" si="0"/>
        <v>35</v>
      </c>
      <c r="J39" s="124" t="str">
        <f t="shared" si="1"/>
        <v>RGB(204, 255, 204)</v>
      </c>
      <c r="K39" t="s">
        <v>2977</v>
      </c>
    </row>
    <row r="40" spans="1:21" ht="28.8" x14ac:dyDescent="0.3">
      <c r="A40" s="77" t="s">
        <v>2901</v>
      </c>
      <c r="B40" s="78" t="s">
        <v>2901</v>
      </c>
      <c r="C40" s="19" t="s">
        <v>2902</v>
      </c>
      <c r="D40" s="77" t="s">
        <v>2902</v>
      </c>
      <c r="E40" s="23">
        <v>255</v>
      </c>
      <c r="F40" s="23">
        <v>255</v>
      </c>
      <c r="G40" s="23">
        <v>153</v>
      </c>
      <c r="H40" s="19" t="s">
        <v>2901</v>
      </c>
      <c r="I40">
        <f t="shared" si="0"/>
        <v>36</v>
      </c>
      <c r="J40" s="124" t="str">
        <f t="shared" si="1"/>
        <v>RGB(255, 255, 153)</v>
      </c>
      <c r="K40" t="s">
        <v>2978</v>
      </c>
    </row>
    <row r="41" spans="1:21" ht="28.8" x14ac:dyDescent="0.3">
      <c r="A41" s="79" t="s">
        <v>2903</v>
      </c>
      <c r="B41" s="80" t="s">
        <v>2903</v>
      </c>
      <c r="C41" s="19" t="s">
        <v>2904</v>
      </c>
      <c r="D41" s="79" t="s">
        <v>2904</v>
      </c>
      <c r="E41" s="23">
        <v>153</v>
      </c>
      <c r="F41" s="23">
        <v>204</v>
      </c>
      <c r="G41" s="23">
        <v>255</v>
      </c>
      <c r="H41" s="19" t="s">
        <v>2903</v>
      </c>
      <c r="I41">
        <f t="shared" si="0"/>
        <v>37</v>
      </c>
      <c r="J41" s="124" t="str">
        <f t="shared" si="1"/>
        <v>RGB(153, 204, 255)</v>
      </c>
      <c r="K41" t="s">
        <v>2979</v>
      </c>
    </row>
    <row r="42" spans="1:21" ht="28.8" x14ac:dyDescent="0.3">
      <c r="A42" s="81" t="s">
        <v>2905</v>
      </c>
      <c r="B42" s="82" t="s">
        <v>2905</v>
      </c>
      <c r="C42" s="19" t="s">
        <v>2906</v>
      </c>
      <c r="D42" s="81" t="s">
        <v>2906</v>
      </c>
      <c r="E42" s="23">
        <v>255</v>
      </c>
      <c r="F42" s="23">
        <v>153</v>
      </c>
      <c r="G42" s="23">
        <v>204</v>
      </c>
      <c r="H42" s="19" t="s">
        <v>2905</v>
      </c>
      <c r="I42">
        <f t="shared" si="0"/>
        <v>38</v>
      </c>
      <c r="J42" s="124" t="str">
        <f t="shared" si="1"/>
        <v>RGB(255, 153, 204)</v>
      </c>
      <c r="K42" t="s">
        <v>2980</v>
      </c>
    </row>
    <row r="43" spans="1:21" ht="28.8" x14ac:dyDescent="0.3">
      <c r="A43" s="83" t="s">
        <v>2907</v>
      </c>
      <c r="B43" s="84" t="s">
        <v>2907</v>
      </c>
      <c r="C43" s="19" t="s">
        <v>2908</v>
      </c>
      <c r="D43" s="83" t="s">
        <v>2908</v>
      </c>
      <c r="E43" s="23">
        <v>204</v>
      </c>
      <c r="F43" s="23">
        <v>153</v>
      </c>
      <c r="G43" s="23">
        <v>255</v>
      </c>
      <c r="H43" s="19" t="s">
        <v>2907</v>
      </c>
      <c r="I43">
        <f t="shared" si="0"/>
        <v>39</v>
      </c>
      <c r="J43" s="124" t="str">
        <f t="shared" si="1"/>
        <v>RGB(204, 153, 255)</v>
      </c>
      <c r="K43" t="s">
        <v>2981</v>
      </c>
    </row>
    <row r="44" spans="1:21" ht="28.8" x14ac:dyDescent="0.3">
      <c r="A44" s="85" t="s">
        <v>2909</v>
      </c>
      <c r="B44" s="86" t="s">
        <v>2909</v>
      </c>
      <c r="C44" s="19" t="s">
        <v>2910</v>
      </c>
      <c r="D44" s="85" t="s">
        <v>2910</v>
      </c>
      <c r="E44" s="23">
        <v>255</v>
      </c>
      <c r="F44" s="23">
        <v>204</v>
      </c>
      <c r="G44" s="23">
        <v>153</v>
      </c>
      <c r="H44" s="19" t="s">
        <v>2909</v>
      </c>
      <c r="I44">
        <f t="shared" si="0"/>
        <v>40</v>
      </c>
      <c r="J44" s="124" t="str">
        <f t="shared" si="1"/>
        <v>RGB(255, 204, 153)</v>
      </c>
      <c r="K44" t="s">
        <v>2982</v>
      </c>
    </row>
    <row r="45" spans="1:21" ht="28.8" x14ac:dyDescent="0.3">
      <c r="A45" s="87" t="s">
        <v>2911</v>
      </c>
      <c r="B45" s="88" t="s">
        <v>2911</v>
      </c>
      <c r="C45" s="19" t="s">
        <v>2912</v>
      </c>
      <c r="D45" s="87" t="s">
        <v>2912</v>
      </c>
      <c r="E45" s="23">
        <v>51</v>
      </c>
      <c r="F45" s="23">
        <v>102</v>
      </c>
      <c r="G45" s="23">
        <v>255</v>
      </c>
      <c r="H45" s="19" t="s">
        <v>2911</v>
      </c>
      <c r="I45">
        <f t="shared" si="0"/>
        <v>41</v>
      </c>
      <c r="J45" s="124" t="str">
        <f t="shared" si="1"/>
        <v>RGB(51, 102, 255)</v>
      </c>
      <c r="K45" t="s">
        <v>2983</v>
      </c>
    </row>
    <row r="46" spans="1:21" ht="28.8" x14ac:dyDescent="0.3">
      <c r="A46" s="89" t="s">
        <v>2913</v>
      </c>
      <c r="B46" s="90" t="s">
        <v>2913</v>
      </c>
      <c r="C46" s="19" t="s">
        <v>2914</v>
      </c>
      <c r="D46" s="89" t="s">
        <v>2914</v>
      </c>
      <c r="E46" s="23">
        <v>51</v>
      </c>
      <c r="F46" s="23">
        <v>204</v>
      </c>
      <c r="G46" s="23">
        <v>204</v>
      </c>
      <c r="H46" s="19" t="s">
        <v>2913</v>
      </c>
      <c r="I46">
        <f t="shared" si="0"/>
        <v>42</v>
      </c>
      <c r="J46" s="124" t="str">
        <f t="shared" si="1"/>
        <v>RGB(51, 204, 204)</v>
      </c>
      <c r="K46" t="s">
        <v>2984</v>
      </c>
    </row>
    <row r="47" spans="1:21" ht="28.8" x14ac:dyDescent="0.3">
      <c r="A47" s="91" t="s">
        <v>2915</v>
      </c>
      <c r="B47" s="92" t="s">
        <v>2915</v>
      </c>
      <c r="C47" s="19" t="s">
        <v>2916</v>
      </c>
      <c r="D47" s="91" t="s">
        <v>2916</v>
      </c>
      <c r="E47" s="23">
        <v>153</v>
      </c>
      <c r="F47" s="23">
        <v>204</v>
      </c>
      <c r="G47" s="23">
        <v>0</v>
      </c>
      <c r="H47" s="19" t="s">
        <v>2915</v>
      </c>
      <c r="I47">
        <f t="shared" si="0"/>
        <v>43</v>
      </c>
      <c r="J47" s="124" t="str">
        <f t="shared" si="1"/>
        <v>RGB(153, 204, 0)</v>
      </c>
      <c r="K47" t="s">
        <v>2985</v>
      </c>
    </row>
    <row r="48" spans="1:21" ht="28.8" x14ac:dyDescent="0.3">
      <c r="A48" s="93" t="s">
        <v>2917</v>
      </c>
      <c r="B48" s="94" t="s">
        <v>2917</v>
      </c>
      <c r="C48" s="19" t="s">
        <v>2918</v>
      </c>
      <c r="D48" s="93" t="s">
        <v>2918</v>
      </c>
      <c r="E48" s="23">
        <v>255</v>
      </c>
      <c r="F48" s="23">
        <v>204</v>
      </c>
      <c r="G48" s="23">
        <v>0</v>
      </c>
      <c r="H48" s="19" t="s">
        <v>2917</v>
      </c>
      <c r="I48">
        <f t="shared" si="0"/>
        <v>44</v>
      </c>
      <c r="J48" s="124" t="str">
        <f t="shared" si="1"/>
        <v>RGB(255, 204, 0)</v>
      </c>
      <c r="K48" t="s">
        <v>2986</v>
      </c>
    </row>
    <row r="49" spans="1:11" ht="28.8" x14ac:dyDescent="0.3">
      <c r="A49" s="95" t="s">
        <v>2919</v>
      </c>
      <c r="B49" s="96" t="s">
        <v>2919</v>
      </c>
      <c r="C49" s="19" t="s">
        <v>2920</v>
      </c>
      <c r="D49" s="95" t="s">
        <v>2920</v>
      </c>
      <c r="E49" s="23">
        <v>255</v>
      </c>
      <c r="F49" s="23">
        <v>153</v>
      </c>
      <c r="G49" s="23">
        <v>0</v>
      </c>
      <c r="H49" s="19" t="s">
        <v>2919</v>
      </c>
      <c r="I49">
        <f t="shared" si="0"/>
        <v>45</v>
      </c>
      <c r="J49" s="124" t="str">
        <f t="shared" si="1"/>
        <v>RGB(255, 153, 0)</v>
      </c>
      <c r="K49" t="s">
        <v>2987</v>
      </c>
    </row>
    <row r="50" spans="1:11" ht="28.8" x14ac:dyDescent="0.3">
      <c r="A50" s="97" t="s">
        <v>2921</v>
      </c>
      <c r="B50" s="98" t="s">
        <v>2921</v>
      </c>
      <c r="C50" s="19" t="s">
        <v>2922</v>
      </c>
      <c r="D50" s="97" t="s">
        <v>2922</v>
      </c>
      <c r="E50" s="23">
        <v>255</v>
      </c>
      <c r="F50" s="23">
        <v>102</v>
      </c>
      <c r="G50" s="23">
        <v>0</v>
      </c>
      <c r="H50" s="19" t="s">
        <v>2921</v>
      </c>
      <c r="I50">
        <f t="shared" si="0"/>
        <v>46</v>
      </c>
      <c r="J50" s="124" t="str">
        <f t="shared" si="1"/>
        <v>RGB(255, 102, 0)</v>
      </c>
      <c r="K50" t="s">
        <v>2988</v>
      </c>
    </row>
    <row r="51" spans="1:11" ht="28.8" x14ac:dyDescent="0.3">
      <c r="A51" s="99" t="s">
        <v>2923</v>
      </c>
      <c r="B51" s="100" t="s">
        <v>2923</v>
      </c>
      <c r="C51" s="19" t="s">
        <v>2924</v>
      </c>
      <c r="D51" s="99" t="s">
        <v>2924</v>
      </c>
      <c r="E51" s="23">
        <v>102</v>
      </c>
      <c r="F51" s="23">
        <v>102</v>
      </c>
      <c r="G51" s="23">
        <v>153</v>
      </c>
      <c r="H51" s="19" t="s">
        <v>2923</v>
      </c>
      <c r="I51">
        <f t="shared" si="0"/>
        <v>47</v>
      </c>
      <c r="J51" s="124" t="str">
        <f t="shared" si="1"/>
        <v>RGB(102, 102, 153)</v>
      </c>
      <c r="K51" t="s">
        <v>2989</v>
      </c>
    </row>
    <row r="52" spans="1:11" ht="28.8" x14ac:dyDescent="0.3">
      <c r="A52" s="101" t="s">
        <v>2925</v>
      </c>
      <c r="B52" s="102" t="s">
        <v>2925</v>
      </c>
      <c r="C52" s="19" t="s">
        <v>2926</v>
      </c>
      <c r="D52" s="101" t="s">
        <v>2926</v>
      </c>
      <c r="E52" s="23">
        <v>150</v>
      </c>
      <c r="F52" s="23">
        <v>150</v>
      </c>
      <c r="G52" s="23">
        <v>150</v>
      </c>
      <c r="H52" s="19" t="s">
        <v>2925</v>
      </c>
      <c r="I52">
        <f t="shared" si="0"/>
        <v>48</v>
      </c>
      <c r="J52" s="124" t="str">
        <f t="shared" si="1"/>
        <v>RGB(150, 150, 150)</v>
      </c>
      <c r="K52" t="s">
        <v>2990</v>
      </c>
    </row>
    <row r="53" spans="1:11" ht="28.8" x14ac:dyDescent="0.3">
      <c r="A53" s="103" t="s">
        <v>2927</v>
      </c>
      <c r="B53" s="104" t="s">
        <v>2927</v>
      </c>
      <c r="C53" s="19" t="s">
        <v>2928</v>
      </c>
      <c r="D53" s="103" t="s">
        <v>2928</v>
      </c>
      <c r="E53" s="23">
        <v>0</v>
      </c>
      <c r="F53" s="23">
        <v>51</v>
      </c>
      <c r="G53" s="23">
        <v>102</v>
      </c>
      <c r="H53" s="19" t="s">
        <v>2927</v>
      </c>
      <c r="I53">
        <f t="shared" si="0"/>
        <v>49</v>
      </c>
      <c r="J53" s="124" t="str">
        <f t="shared" si="1"/>
        <v>RGB(0, 51, 102)</v>
      </c>
      <c r="K53" t="s">
        <v>2991</v>
      </c>
    </row>
    <row r="54" spans="1:11" ht="28.8" x14ac:dyDescent="0.3">
      <c r="A54" s="105" t="s">
        <v>2929</v>
      </c>
      <c r="B54" s="106" t="s">
        <v>2929</v>
      </c>
      <c r="C54" s="19" t="s">
        <v>2930</v>
      </c>
      <c r="D54" s="105" t="s">
        <v>2930</v>
      </c>
      <c r="E54" s="23">
        <v>51</v>
      </c>
      <c r="F54" s="23">
        <v>153</v>
      </c>
      <c r="G54" s="23">
        <v>102</v>
      </c>
      <c r="H54" s="19" t="s">
        <v>2929</v>
      </c>
      <c r="I54">
        <f t="shared" si="0"/>
        <v>50</v>
      </c>
      <c r="J54" s="124" t="str">
        <f t="shared" si="1"/>
        <v>RGB(51, 153, 102)</v>
      </c>
      <c r="K54" t="s">
        <v>2992</v>
      </c>
    </row>
    <row r="55" spans="1:11" ht="28.8" x14ac:dyDescent="0.3">
      <c r="A55" s="107" t="s">
        <v>2931</v>
      </c>
      <c r="B55" s="108" t="s">
        <v>2931</v>
      </c>
      <c r="C55" s="19" t="s">
        <v>2932</v>
      </c>
      <c r="D55" s="107" t="s">
        <v>2932</v>
      </c>
      <c r="E55" s="23">
        <v>0</v>
      </c>
      <c r="F55" s="23">
        <v>51</v>
      </c>
      <c r="G55" s="23">
        <v>0</v>
      </c>
      <c r="H55" s="19" t="s">
        <v>2931</v>
      </c>
      <c r="I55">
        <f t="shared" si="0"/>
        <v>51</v>
      </c>
      <c r="J55" s="124" t="str">
        <f t="shared" si="1"/>
        <v>RGB(0, 51, 0)</v>
      </c>
      <c r="K55" t="s">
        <v>2993</v>
      </c>
    </row>
    <row r="56" spans="1:11" ht="28.8" x14ac:dyDescent="0.3">
      <c r="A56" s="109" t="s">
        <v>2933</v>
      </c>
      <c r="B56" s="110" t="s">
        <v>2933</v>
      </c>
      <c r="C56" s="19" t="s">
        <v>2934</v>
      </c>
      <c r="D56" s="109" t="s">
        <v>2934</v>
      </c>
      <c r="E56" s="23">
        <v>51</v>
      </c>
      <c r="F56" s="23">
        <v>51</v>
      </c>
      <c r="G56" s="23">
        <v>0</v>
      </c>
      <c r="H56" s="19" t="s">
        <v>2933</v>
      </c>
      <c r="I56">
        <f t="shared" si="0"/>
        <v>52</v>
      </c>
      <c r="J56" s="124" t="str">
        <f t="shared" si="1"/>
        <v>RGB(51, 51, 0)</v>
      </c>
      <c r="K56" t="s">
        <v>2994</v>
      </c>
    </row>
    <row r="57" spans="1:11" ht="28.8" x14ac:dyDescent="0.3">
      <c r="A57" s="111" t="s">
        <v>2935</v>
      </c>
      <c r="B57" s="112" t="s">
        <v>2935</v>
      </c>
      <c r="C57" s="19" t="s">
        <v>2936</v>
      </c>
      <c r="D57" s="111" t="s">
        <v>2936</v>
      </c>
      <c r="E57" s="23">
        <v>153</v>
      </c>
      <c r="F57" s="23">
        <v>51</v>
      </c>
      <c r="G57" s="23">
        <v>0</v>
      </c>
      <c r="H57" s="19" t="s">
        <v>2935</v>
      </c>
      <c r="I57">
        <f t="shared" si="0"/>
        <v>53</v>
      </c>
      <c r="J57" s="124" t="str">
        <f t="shared" si="1"/>
        <v>RGB(153, 51, 0)</v>
      </c>
      <c r="K57" t="s">
        <v>2995</v>
      </c>
    </row>
    <row r="58" spans="1:11" ht="28.8" x14ac:dyDescent="0.3">
      <c r="A58" s="59" t="s">
        <v>2937</v>
      </c>
      <c r="B58" s="60" t="s">
        <v>2937</v>
      </c>
      <c r="C58" s="19" t="s">
        <v>2875</v>
      </c>
      <c r="D58" s="59" t="s">
        <v>2875</v>
      </c>
      <c r="E58" s="23">
        <v>153</v>
      </c>
      <c r="F58" s="23">
        <v>51</v>
      </c>
      <c r="G58" s="23">
        <v>102</v>
      </c>
      <c r="H58" s="19" t="s">
        <v>2937</v>
      </c>
      <c r="I58">
        <f t="shared" si="0"/>
        <v>54</v>
      </c>
      <c r="J58" s="124" t="str">
        <f t="shared" si="1"/>
        <v>RGB(153, 51, 102)</v>
      </c>
      <c r="K58" t="s">
        <v>2996</v>
      </c>
    </row>
    <row r="59" spans="1:11" ht="28.8" x14ac:dyDescent="0.3">
      <c r="A59" s="113" t="s">
        <v>2938</v>
      </c>
      <c r="B59" s="114" t="s">
        <v>2938</v>
      </c>
      <c r="C59" s="19" t="s">
        <v>2939</v>
      </c>
      <c r="D59" s="113" t="s">
        <v>2939</v>
      </c>
      <c r="E59" s="23">
        <v>51</v>
      </c>
      <c r="F59" s="23">
        <v>51</v>
      </c>
      <c r="G59" s="23">
        <v>153</v>
      </c>
      <c r="H59" s="19" t="s">
        <v>2938</v>
      </c>
      <c r="I59">
        <f t="shared" si="0"/>
        <v>55</v>
      </c>
      <c r="J59" s="124" t="str">
        <f t="shared" si="1"/>
        <v>RGB(51, 51, 153)</v>
      </c>
      <c r="K59" t="s">
        <v>2997</v>
      </c>
    </row>
    <row r="60" spans="1:11" ht="28.8" x14ac:dyDescent="0.3">
      <c r="A60" s="115" t="s">
        <v>2940</v>
      </c>
      <c r="B60" s="116" t="s">
        <v>2940</v>
      </c>
      <c r="C60" s="19" t="s">
        <v>2941</v>
      </c>
      <c r="D60" s="115" t="s">
        <v>2941</v>
      </c>
      <c r="E60" s="23">
        <v>51</v>
      </c>
      <c r="F60" s="23">
        <v>51</v>
      </c>
      <c r="G60" s="23">
        <v>51</v>
      </c>
      <c r="H60" s="19" t="s">
        <v>2940</v>
      </c>
      <c r="I60">
        <f t="shared" si="0"/>
        <v>56</v>
      </c>
      <c r="J60" s="124" t="str">
        <f t="shared" si="1"/>
        <v>RGB(51, 51, 51)</v>
      </c>
      <c r="K60" t="s">
        <v>2998</v>
      </c>
    </row>
    <row r="61" spans="1:11" ht="14.4" customHeight="1" x14ac:dyDescent="0.3">
      <c r="A61" s="145" t="s">
        <v>2942</v>
      </c>
      <c r="B61" s="146"/>
      <c r="C61" s="146"/>
      <c r="D61" s="146"/>
      <c r="E61" s="146"/>
      <c r="F61" s="146"/>
      <c r="G61" s="146"/>
      <c r="H61" s="147"/>
    </row>
  </sheetData>
  <mergeCells count="1">
    <mergeCell ref="A61:H61"/>
  </mergeCells>
  <hyperlinks>
    <hyperlink ref="C4" r:id="rId1" location="hexconvxl" display="http://dmcritchie.mvps.org/excel/colors.htm - hexconvxl"/>
    <hyperlink ref="E4" r:id="rId2" location="hexconv" display="http://dmcritchie.mvps.org/excel/colors.htm - hexcon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O206"/>
  <sheetViews>
    <sheetView topLeftCell="A7" workbookViewId="0">
      <selection activeCell="G1" sqref="G1:I42"/>
    </sheetView>
  </sheetViews>
  <sheetFormatPr defaultRowHeight="14.4" x14ac:dyDescent="0.3"/>
  <cols>
    <col min="2" max="2" width="16.77734375" customWidth="1"/>
    <col min="3" max="3" width="13.88671875" customWidth="1"/>
    <col min="4" max="4" width="71.6640625" style="8" customWidth="1"/>
    <col min="7" max="8" width="14.6640625" customWidth="1"/>
    <col min="9" max="9" width="17" customWidth="1"/>
  </cols>
  <sheetData>
    <row r="1" spans="1:15" x14ac:dyDescent="0.3">
      <c r="A1" s="5" t="s">
        <v>324</v>
      </c>
      <c r="G1" t="s">
        <v>325</v>
      </c>
      <c r="H1" t="s">
        <v>326</v>
      </c>
      <c r="I1" t="s">
        <v>327</v>
      </c>
    </row>
    <row r="2" spans="1:15" ht="28.8" x14ac:dyDescent="0.3">
      <c r="A2" t="s">
        <v>46</v>
      </c>
      <c r="B2" s="4" t="s">
        <v>47</v>
      </c>
      <c r="C2" s="4" t="s">
        <v>48</v>
      </c>
      <c r="D2" s="9" t="s">
        <v>49</v>
      </c>
      <c r="E2" s="4" t="s">
        <v>257</v>
      </c>
      <c r="F2" s="4"/>
      <c r="G2" s="4" t="s">
        <v>379</v>
      </c>
      <c r="H2" s="10" t="s">
        <v>380</v>
      </c>
      <c r="I2" s="4" t="s">
        <v>362</v>
      </c>
      <c r="J2" s="4"/>
      <c r="K2" s="4"/>
      <c r="L2" s="4"/>
      <c r="M2" s="4"/>
      <c r="N2" s="4"/>
      <c r="O2" s="4"/>
    </row>
    <row r="3" spans="1:15" x14ac:dyDescent="0.3">
      <c r="A3">
        <v>1</v>
      </c>
      <c r="B3" t="s">
        <v>88</v>
      </c>
      <c r="C3" t="s">
        <v>325</v>
      </c>
      <c r="D3" s="8" t="s">
        <v>326</v>
      </c>
      <c r="E3" t="s">
        <v>327</v>
      </c>
      <c r="G3" s="4" t="s">
        <v>366</v>
      </c>
      <c r="H3" s="4" t="s">
        <v>367</v>
      </c>
      <c r="I3" s="4" t="s">
        <v>362</v>
      </c>
    </row>
    <row r="4" spans="1:15" ht="28.8" x14ac:dyDescent="0.3">
      <c r="A4">
        <v>2</v>
      </c>
      <c r="B4" t="s">
        <v>91</v>
      </c>
      <c r="C4" t="s">
        <v>328</v>
      </c>
      <c r="D4" s="6" t="s">
        <v>329</v>
      </c>
      <c r="E4" t="s">
        <v>327</v>
      </c>
      <c r="G4" t="s">
        <v>377</v>
      </c>
      <c r="I4" t="s">
        <v>362</v>
      </c>
    </row>
    <row r="5" spans="1:15" x14ac:dyDescent="0.3">
      <c r="A5">
        <v>3</v>
      </c>
      <c r="B5" t="s">
        <v>72</v>
      </c>
      <c r="C5" t="s">
        <v>330</v>
      </c>
      <c r="D5" s="8" t="s">
        <v>331</v>
      </c>
      <c r="E5" t="s">
        <v>327</v>
      </c>
      <c r="G5" t="s">
        <v>368</v>
      </c>
      <c r="H5" t="s">
        <v>369</v>
      </c>
      <c r="I5" t="s">
        <v>362</v>
      </c>
    </row>
    <row r="6" spans="1:15" x14ac:dyDescent="0.3">
      <c r="A6">
        <v>4</v>
      </c>
      <c r="B6" t="s">
        <v>80</v>
      </c>
      <c r="C6" t="s">
        <v>332</v>
      </c>
      <c r="D6" s="8" t="s">
        <v>333</v>
      </c>
      <c r="E6" t="s">
        <v>327</v>
      </c>
      <c r="G6" s="4" t="s">
        <v>332</v>
      </c>
      <c r="H6" s="10" t="s">
        <v>333</v>
      </c>
      <c r="I6" s="4" t="s">
        <v>327</v>
      </c>
    </row>
    <row r="7" spans="1:15" x14ac:dyDescent="0.3">
      <c r="D7" s="6"/>
      <c r="E7" t="s">
        <v>252</v>
      </c>
      <c r="G7" t="s">
        <v>360</v>
      </c>
      <c r="H7" t="s">
        <v>361</v>
      </c>
      <c r="I7" t="s">
        <v>362</v>
      </c>
    </row>
    <row r="8" spans="1:15" x14ac:dyDescent="0.3">
      <c r="A8" s="5" t="s">
        <v>2529</v>
      </c>
      <c r="E8" t="s">
        <v>252</v>
      </c>
      <c r="G8" t="s">
        <v>330</v>
      </c>
      <c r="H8" t="s">
        <v>331</v>
      </c>
      <c r="I8" t="s">
        <v>327</v>
      </c>
    </row>
    <row r="9" spans="1:15" x14ac:dyDescent="0.3">
      <c r="A9" t="s">
        <v>46</v>
      </c>
      <c r="B9" s="4" t="s">
        <v>47</v>
      </c>
      <c r="C9" s="4" t="s">
        <v>48</v>
      </c>
      <c r="D9" s="9" t="s">
        <v>49</v>
      </c>
      <c r="E9" s="4" t="s">
        <v>257</v>
      </c>
      <c r="F9" s="4"/>
      <c r="G9" t="s">
        <v>330</v>
      </c>
      <c r="H9" t="s">
        <v>331</v>
      </c>
      <c r="I9" t="s">
        <v>327</v>
      </c>
      <c r="J9" s="4"/>
      <c r="K9" s="4"/>
      <c r="L9" s="4"/>
      <c r="M9" s="4"/>
      <c r="N9" s="4"/>
      <c r="O9" s="4"/>
    </row>
    <row r="10" spans="1:15" x14ac:dyDescent="0.3">
      <c r="A10">
        <v>1</v>
      </c>
      <c r="B10" t="s">
        <v>2530</v>
      </c>
      <c r="E10" t="s">
        <v>2531</v>
      </c>
      <c r="G10" s="4" t="s">
        <v>330</v>
      </c>
      <c r="H10" s="4" t="s">
        <v>331</v>
      </c>
      <c r="I10" s="4" t="s">
        <v>327</v>
      </c>
    </row>
    <row r="11" spans="1:15" x14ac:dyDescent="0.3">
      <c r="A11">
        <v>2</v>
      </c>
      <c r="B11" t="s">
        <v>2532</v>
      </c>
      <c r="E11" t="s">
        <v>2531</v>
      </c>
      <c r="G11" t="s">
        <v>371</v>
      </c>
      <c r="H11" t="s">
        <v>372</v>
      </c>
      <c r="I11" t="s">
        <v>362</v>
      </c>
    </row>
    <row r="12" spans="1:15" x14ac:dyDescent="0.3">
      <c r="D12" s="6"/>
      <c r="E12" t="s">
        <v>336</v>
      </c>
      <c r="G12" s="4" t="s">
        <v>371</v>
      </c>
      <c r="H12" s="4" t="s">
        <v>372</v>
      </c>
      <c r="I12" s="4" t="s">
        <v>362</v>
      </c>
    </row>
    <row r="13" spans="1:15" x14ac:dyDescent="0.3">
      <c r="A13" s="5" t="s">
        <v>334</v>
      </c>
      <c r="E13" t="s">
        <v>336</v>
      </c>
      <c r="G13" t="s">
        <v>371</v>
      </c>
      <c r="H13" s="6" t="s">
        <v>372</v>
      </c>
      <c r="I13" t="s">
        <v>362</v>
      </c>
    </row>
    <row r="14" spans="1:15" x14ac:dyDescent="0.3">
      <c r="A14" t="s">
        <v>46</v>
      </c>
      <c r="B14" s="4" t="s">
        <v>47</v>
      </c>
      <c r="C14" s="4" t="s">
        <v>48</v>
      </c>
      <c r="D14" s="9" t="s">
        <v>49</v>
      </c>
      <c r="E14" s="4" t="s">
        <v>257</v>
      </c>
      <c r="F14" s="4"/>
      <c r="G14" t="s">
        <v>371</v>
      </c>
      <c r="H14" t="s">
        <v>372</v>
      </c>
      <c r="I14" t="s">
        <v>362</v>
      </c>
      <c r="J14" s="4"/>
      <c r="K14" s="4"/>
      <c r="L14" s="4"/>
      <c r="M14" s="4"/>
      <c r="N14" s="4"/>
      <c r="O14" s="4"/>
    </row>
    <row r="15" spans="1:15" x14ac:dyDescent="0.3">
      <c r="A15">
        <v>1</v>
      </c>
      <c r="B15" t="s">
        <v>335</v>
      </c>
      <c r="E15" t="s">
        <v>336</v>
      </c>
      <c r="G15" t="s">
        <v>371</v>
      </c>
      <c r="H15" t="s">
        <v>372</v>
      </c>
      <c r="I15" t="s">
        <v>362</v>
      </c>
    </row>
    <row r="16" spans="1:15" x14ac:dyDescent="0.3">
      <c r="A16">
        <v>2</v>
      </c>
      <c r="B16" t="s">
        <v>337</v>
      </c>
      <c r="E16" t="s">
        <v>336</v>
      </c>
      <c r="G16" t="s">
        <v>371</v>
      </c>
      <c r="H16" t="s">
        <v>372</v>
      </c>
      <c r="I16" t="s">
        <v>362</v>
      </c>
    </row>
    <row r="17" spans="1:9" x14ac:dyDescent="0.3">
      <c r="A17">
        <v>3</v>
      </c>
      <c r="B17" t="s">
        <v>338</v>
      </c>
      <c r="E17" t="s">
        <v>336</v>
      </c>
      <c r="G17" t="s">
        <v>371</v>
      </c>
      <c r="H17" t="s">
        <v>372</v>
      </c>
      <c r="I17" t="s">
        <v>362</v>
      </c>
    </row>
    <row r="18" spans="1:9" x14ac:dyDescent="0.3">
      <c r="A18">
        <v>4</v>
      </c>
      <c r="B18" t="s">
        <v>339</v>
      </c>
      <c r="E18" t="s">
        <v>336</v>
      </c>
      <c r="G18" t="s">
        <v>371</v>
      </c>
      <c r="H18" s="6" t="s">
        <v>372</v>
      </c>
      <c r="I18" t="s">
        <v>362</v>
      </c>
    </row>
    <row r="19" spans="1:9" x14ac:dyDescent="0.3">
      <c r="A19">
        <v>5</v>
      </c>
      <c r="B19" t="s">
        <v>340</v>
      </c>
      <c r="E19" t="s">
        <v>336</v>
      </c>
      <c r="G19" s="4" t="s">
        <v>374</v>
      </c>
      <c r="H19" s="4" t="s">
        <v>375</v>
      </c>
      <c r="I19" s="4" t="s">
        <v>362</v>
      </c>
    </row>
    <row r="20" spans="1:9" x14ac:dyDescent="0.3">
      <c r="A20">
        <v>6</v>
      </c>
      <c r="B20" t="s">
        <v>341</v>
      </c>
      <c r="D20" s="6"/>
      <c r="E20" t="s">
        <v>336</v>
      </c>
      <c r="G20" s="4" t="s">
        <v>374</v>
      </c>
      <c r="H20" s="4" t="s">
        <v>375</v>
      </c>
      <c r="I20" s="4" t="s">
        <v>362</v>
      </c>
    </row>
    <row r="21" spans="1:9" ht="28.8" x14ac:dyDescent="0.3">
      <c r="A21">
        <v>7</v>
      </c>
      <c r="B21" t="s">
        <v>342</v>
      </c>
      <c r="E21" t="s">
        <v>336</v>
      </c>
      <c r="G21" s="4" t="s">
        <v>374</v>
      </c>
      <c r="H21" s="10" t="s">
        <v>375</v>
      </c>
      <c r="I21" s="4" t="s">
        <v>362</v>
      </c>
    </row>
    <row r="22" spans="1:9" x14ac:dyDescent="0.3">
      <c r="A22">
        <v>8</v>
      </c>
      <c r="B22" t="s">
        <v>343</v>
      </c>
      <c r="D22" s="6"/>
      <c r="E22" t="s">
        <v>336</v>
      </c>
      <c r="G22" s="4" t="s">
        <v>374</v>
      </c>
      <c r="H22" s="4" t="s">
        <v>375</v>
      </c>
      <c r="I22" s="4" t="s">
        <v>362</v>
      </c>
    </row>
    <row r="23" spans="1:9" x14ac:dyDescent="0.3">
      <c r="A23">
        <v>9</v>
      </c>
      <c r="B23" t="s">
        <v>344</v>
      </c>
      <c r="E23" t="s">
        <v>336</v>
      </c>
      <c r="G23" s="4" t="s">
        <v>374</v>
      </c>
      <c r="H23" s="4" t="s">
        <v>375</v>
      </c>
      <c r="I23" s="4" t="s">
        <v>362</v>
      </c>
    </row>
    <row r="24" spans="1:9" ht="28.8" x14ac:dyDescent="0.3">
      <c r="A24">
        <v>10</v>
      </c>
      <c r="B24" t="s">
        <v>345</v>
      </c>
      <c r="E24" t="s">
        <v>336</v>
      </c>
      <c r="G24" s="4" t="s">
        <v>374</v>
      </c>
      <c r="H24" s="10" t="s">
        <v>375</v>
      </c>
      <c r="I24" s="4" t="s">
        <v>362</v>
      </c>
    </row>
    <row r="25" spans="1:9" x14ac:dyDescent="0.3">
      <c r="A25">
        <v>11</v>
      </c>
      <c r="B25" t="s">
        <v>346</v>
      </c>
      <c r="E25" t="s">
        <v>336</v>
      </c>
      <c r="G25" s="4" t="s">
        <v>374</v>
      </c>
      <c r="H25" s="4" t="s">
        <v>375</v>
      </c>
      <c r="I25" s="4" t="s">
        <v>362</v>
      </c>
    </row>
    <row r="26" spans="1:9" x14ac:dyDescent="0.3">
      <c r="A26">
        <v>12</v>
      </c>
      <c r="B26" t="s">
        <v>347</v>
      </c>
      <c r="E26" t="s">
        <v>336</v>
      </c>
      <c r="G26" s="4" t="s">
        <v>374</v>
      </c>
      <c r="H26" s="4" t="s">
        <v>375</v>
      </c>
      <c r="I26" s="4" t="s">
        <v>362</v>
      </c>
    </row>
    <row r="27" spans="1:9" ht="43.2" x14ac:dyDescent="0.3">
      <c r="A27">
        <v>13</v>
      </c>
      <c r="B27" t="s">
        <v>348</v>
      </c>
      <c r="E27" t="s">
        <v>336</v>
      </c>
      <c r="G27" s="4" t="s">
        <v>328</v>
      </c>
      <c r="H27" s="10" t="s">
        <v>329</v>
      </c>
      <c r="I27" s="4" t="s">
        <v>327</v>
      </c>
    </row>
    <row r="28" spans="1:9" ht="43.2" x14ac:dyDescent="0.3">
      <c r="A28">
        <v>14</v>
      </c>
      <c r="B28" t="s">
        <v>349</v>
      </c>
      <c r="E28" t="s">
        <v>336</v>
      </c>
      <c r="G28" s="4" t="s">
        <v>328</v>
      </c>
      <c r="H28" s="10" t="s">
        <v>329</v>
      </c>
      <c r="I28" s="4" t="s">
        <v>327</v>
      </c>
    </row>
    <row r="29" spans="1:9" ht="43.2" x14ac:dyDescent="0.3">
      <c r="A29">
        <v>15</v>
      </c>
      <c r="B29" t="s">
        <v>348</v>
      </c>
      <c r="E29" t="s">
        <v>336</v>
      </c>
      <c r="G29" s="4" t="s">
        <v>328</v>
      </c>
      <c r="H29" s="10" t="s">
        <v>329</v>
      </c>
      <c r="I29" s="4" t="s">
        <v>327</v>
      </c>
    </row>
    <row r="30" spans="1:9" ht="43.2" x14ac:dyDescent="0.3">
      <c r="A30">
        <v>16</v>
      </c>
      <c r="B30" t="s">
        <v>350</v>
      </c>
      <c r="E30" t="s">
        <v>336</v>
      </c>
      <c r="G30" s="4" t="s">
        <v>328</v>
      </c>
      <c r="H30" s="10" t="s">
        <v>329</v>
      </c>
      <c r="I30" s="4" t="s">
        <v>327</v>
      </c>
    </row>
    <row r="31" spans="1:9" ht="43.2" x14ac:dyDescent="0.3">
      <c r="A31">
        <v>17</v>
      </c>
      <c r="B31" t="s">
        <v>351</v>
      </c>
      <c r="E31" t="s">
        <v>336</v>
      </c>
      <c r="G31" s="4" t="s">
        <v>328</v>
      </c>
      <c r="H31" s="10" t="s">
        <v>329</v>
      </c>
      <c r="I31" s="4" t="s">
        <v>327</v>
      </c>
    </row>
    <row r="32" spans="1:9" ht="43.2" x14ac:dyDescent="0.3">
      <c r="A32">
        <v>18</v>
      </c>
      <c r="B32" t="s">
        <v>352</v>
      </c>
      <c r="E32" t="s">
        <v>336</v>
      </c>
      <c r="G32" s="4" t="s">
        <v>328</v>
      </c>
      <c r="H32" s="10" t="s">
        <v>329</v>
      </c>
      <c r="I32" s="4" t="s">
        <v>327</v>
      </c>
    </row>
    <row r="33" spans="1:15" ht="43.2" x14ac:dyDescent="0.3">
      <c r="A33">
        <v>19</v>
      </c>
      <c r="B33" t="s">
        <v>353</v>
      </c>
      <c r="E33" t="s">
        <v>336</v>
      </c>
      <c r="G33" s="4" t="s">
        <v>328</v>
      </c>
      <c r="H33" s="10" t="s">
        <v>329</v>
      </c>
      <c r="I33" s="4" t="s">
        <v>327</v>
      </c>
    </row>
    <row r="34" spans="1:15" ht="43.2" x14ac:dyDescent="0.3">
      <c r="A34">
        <v>20</v>
      </c>
      <c r="B34" t="s">
        <v>352</v>
      </c>
      <c r="E34" t="s">
        <v>336</v>
      </c>
      <c r="G34" s="4" t="s">
        <v>328</v>
      </c>
      <c r="H34" s="10" t="s">
        <v>329</v>
      </c>
      <c r="I34" s="4" t="s">
        <v>327</v>
      </c>
    </row>
    <row r="35" spans="1:15" ht="57.6" x14ac:dyDescent="0.3">
      <c r="A35">
        <v>21</v>
      </c>
      <c r="B35" t="s">
        <v>354</v>
      </c>
      <c r="E35" t="s">
        <v>336</v>
      </c>
      <c r="G35" t="s">
        <v>61</v>
      </c>
      <c r="H35" s="6" t="s">
        <v>62</v>
      </c>
      <c r="I35" t="s">
        <v>252</v>
      </c>
    </row>
    <row r="36" spans="1:15" ht="43.2" x14ac:dyDescent="0.3">
      <c r="A36" s="5">
        <v>22</v>
      </c>
      <c r="B36" t="s">
        <v>355</v>
      </c>
      <c r="E36" t="s">
        <v>336</v>
      </c>
      <c r="G36" t="s">
        <v>73</v>
      </c>
      <c r="H36" s="6" t="s">
        <v>74</v>
      </c>
      <c r="I36" t="s">
        <v>253</v>
      </c>
    </row>
    <row r="37" spans="1:15" x14ac:dyDescent="0.3">
      <c r="A37">
        <v>23</v>
      </c>
      <c r="B37" s="4" t="s">
        <v>356</v>
      </c>
      <c r="C37" s="4"/>
      <c r="D37" s="9"/>
      <c r="E37" s="4" t="s">
        <v>336</v>
      </c>
      <c r="F37" s="4"/>
      <c r="G37" s="4" t="s">
        <v>77</v>
      </c>
      <c r="H37" s="10" t="s">
        <v>78</v>
      </c>
      <c r="I37" s="4" t="s">
        <v>254</v>
      </c>
      <c r="J37" s="4"/>
      <c r="K37" s="4"/>
      <c r="L37" s="4"/>
      <c r="M37" s="4"/>
      <c r="N37" s="4"/>
      <c r="O37" s="4"/>
    </row>
    <row r="38" spans="1:15" x14ac:dyDescent="0.3">
      <c r="A38">
        <v>24</v>
      </c>
      <c r="B38" t="s">
        <v>357</v>
      </c>
      <c r="E38" t="s">
        <v>336</v>
      </c>
      <c r="G38" t="s">
        <v>66</v>
      </c>
      <c r="H38" t="s">
        <v>65</v>
      </c>
      <c r="I38" t="s">
        <v>252</v>
      </c>
    </row>
    <row r="39" spans="1:15" x14ac:dyDescent="0.3">
      <c r="A39">
        <v>25</v>
      </c>
      <c r="B39" t="s">
        <v>358</v>
      </c>
      <c r="E39" t="s">
        <v>336</v>
      </c>
      <c r="G39" s="4" t="s">
        <v>53</v>
      </c>
      <c r="H39" s="4" t="s">
        <v>54</v>
      </c>
      <c r="I39" s="4" t="s">
        <v>252</v>
      </c>
    </row>
    <row r="40" spans="1:15" ht="28.8" x14ac:dyDescent="0.3">
      <c r="E40" t="s">
        <v>362</v>
      </c>
      <c r="G40" t="s">
        <v>297</v>
      </c>
      <c r="H40" s="6" t="s">
        <v>298</v>
      </c>
      <c r="I40" t="s">
        <v>89</v>
      </c>
    </row>
    <row r="41" spans="1:15" x14ac:dyDescent="0.3">
      <c r="A41" s="5" t="s">
        <v>359</v>
      </c>
      <c r="E41" t="s">
        <v>362</v>
      </c>
      <c r="G41" t="s">
        <v>111</v>
      </c>
      <c r="H41" t="s">
        <v>112</v>
      </c>
      <c r="I41" t="s">
        <v>256</v>
      </c>
    </row>
    <row r="42" spans="1:15" x14ac:dyDescent="0.3">
      <c r="A42" t="s">
        <v>46</v>
      </c>
      <c r="B42" s="4" t="s">
        <v>47</v>
      </c>
      <c r="C42" s="4" t="s">
        <v>48</v>
      </c>
      <c r="D42" s="9" t="s">
        <v>49</v>
      </c>
      <c r="E42" s="4" t="s">
        <v>257</v>
      </c>
      <c r="F42" s="4"/>
      <c r="G42" s="4" t="s">
        <v>67</v>
      </c>
      <c r="H42" s="4" t="s">
        <v>68</v>
      </c>
      <c r="I42" s="4" t="s">
        <v>252</v>
      </c>
      <c r="J42" s="4"/>
      <c r="K42" s="4"/>
      <c r="L42" s="4"/>
      <c r="M42" s="4"/>
      <c r="N42" s="4"/>
      <c r="O42" s="4"/>
    </row>
    <row r="43" spans="1:15" x14ac:dyDescent="0.3">
      <c r="A43">
        <v>1</v>
      </c>
      <c r="B43" t="s">
        <v>88</v>
      </c>
      <c r="C43" t="s">
        <v>360</v>
      </c>
      <c r="D43" s="8" t="s">
        <v>361</v>
      </c>
      <c r="E43" t="s">
        <v>362</v>
      </c>
    </row>
    <row r="44" spans="1:15" x14ac:dyDescent="0.3">
      <c r="A44">
        <v>2</v>
      </c>
      <c r="B44" t="s">
        <v>363</v>
      </c>
      <c r="E44" t="s">
        <v>362</v>
      </c>
    </row>
    <row r="45" spans="1:15" x14ac:dyDescent="0.3">
      <c r="A45">
        <v>3</v>
      </c>
      <c r="B45" t="s">
        <v>364</v>
      </c>
      <c r="E45" t="s">
        <v>362</v>
      </c>
    </row>
    <row r="46" spans="1:15" x14ac:dyDescent="0.3">
      <c r="A46">
        <v>4</v>
      </c>
      <c r="B46" t="s">
        <v>365</v>
      </c>
      <c r="E46" t="s">
        <v>362</v>
      </c>
    </row>
    <row r="47" spans="1:15" x14ac:dyDescent="0.3">
      <c r="A47">
        <v>5</v>
      </c>
      <c r="B47" t="s">
        <v>80</v>
      </c>
      <c r="C47" t="s">
        <v>366</v>
      </c>
      <c r="D47" s="8" t="s">
        <v>367</v>
      </c>
      <c r="E47" t="s">
        <v>362</v>
      </c>
    </row>
    <row r="48" spans="1:15" x14ac:dyDescent="0.3">
      <c r="A48">
        <v>6</v>
      </c>
      <c r="B48" t="s">
        <v>75</v>
      </c>
      <c r="C48" t="s">
        <v>368</v>
      </c>
      <c r="D48" s="8" t="s">
        <v>369</v>
      </c>
      <c r="E48" t="s">
        <v>362</v>
      </c>
    </row>
    <row r="49" spans="1:15" x14ac:dyDescent="0.3">
      <c r="A49">
        <v>7</v>
      </c>
      <c r="B49" t="s">
        <v>370</v>
      </c>
      <c r="C49" t="s">
        <v>371</v>
      </c>
      <c r="D49" s="8" t="s">
        <v>372</v>
      </c>
      <c r="E49" t="s">
        <v>362</v>
      </c>
    </row>
    <row r="50" spans="1:15" x14ac:dyDescent="0.3">
      <c r="A50" s="5">
        <v>8</v>
      </c>
      <c r="B50" t="s">
        <v>373</v>
      </c>
      <c r="C50" t="s">
        <v>374</v>
      </c>
      <c r="D50" s="8" t="s">
        <v>375</v>
      </c>
      <c r="E50" t="s">
        <v>362</v>
      </c>
    </row>
    <row r="51" spans="1:15" x14ac:dyDescent="0.3">
      <c r="A51">
        <v>9</v>
      </c>
      <c r="B51" s="4" t="s">
        <v>376</v>
      </c>
      <c r="C51" s="4" t="s">
        <v>377</v>
      </c>
      <c r="D51" s="9"/>
      <c r="E51" s="4" t="s">
        <v>362</v>
      </c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1:15" x14ac:dyDescent="0.3">
      <c r="A52">
        <v>10</v>
      </c>
      <c r="B52" t="s">
        <v>378</v>
      </c>
      <c r="C52" t="s">
        <v>379</v>
      </c>
      <c r="D52" s="8" t="s">
        <v>380</v>
      </c>
      <c r="E52" t="s">
        <v>362</v>
      </c>
    </row>
    <row r="53" spans="1:15" x14ac:dyDescent="0.3">
      <c r="A53">
        <v>11</v>
      </c>
      <c r="B53" t="s">
        <v>381</v>
      </c>
      <c r="E53" t="s">
        <v>362</v>
      </c>
    </row>
    <row r="54" spans="1:15" x14ac:dyDescent="0.3">
      <c r="E54" t="s">
        <v>383</v>
      </c>
    </row>
    <row r="55" spans="1:15" x14ac:dyDescent="0.3">
      <c r="A55" s="5" t="s">
        <v>382</v>
      </c>
      <c r="E55" t="s">
        <v>383</v>
      </c>
    </row>
    <row r="56" spans="1:15" x14ac:dyDescent="0.3">
      <c r="A56" t="s">
        <v>46</v>
      </c>
      <c r="B56" s="4" t="s">
        <v>47</v>
      </c>
      <c r="C56" s="4" t="s">
        <v>48</v>
      </c>
      <c r="D56" s="9" t="s">
        <v>49</v>
      </c>
      <c r="E56" s="4" t="s">
        <v>257</v>
      </c>
      <c r="F56" s="4"/>
      <c r="G56" s="4"/>
      <c r="H56" s="4"/>
      <c r="I56" s="4"/>
      <c r="J56" s="4"/>
      <c r="K56" s="4"/>
      <c r="L56" s="4"/>
      <c r="M56" s="4"/>
      <c r="N56" s="4"/>
      <c r="O56" s="4"/>
    </row>
    <row r="57" spans="1:15" x14ac:dyDescent="0.3">
      <c r="A57">
        <v>1</v>
      </c>
      <c r="B57" t="s">
        <v>335</v>
      </c>
      <c r="E57" t="s">
        <v>383</v>
      </c>
    </row>
    <row r="58" spans="1:15" x14ac:dyDescent="0.3">
      <c r="A58">
        <v>2</v>
      </c>
      <c r="B58" t="s">
        <v>337</v>
      </c>
      <c r="E58" t="s">
        <v>383</v>
      </c>
    </row>
    <row r="59" spans="1:15" x14ac:dyDescent="0.3">
      <c r="A59">
        <v>3</v>
      </c>
      <c r="B59" t="s">
        <v>338</v>
      </c>
      <c r="E59" t="s">
        <v>383</v>
      </c>
    </row>
    <row r="60" spans="1:15" x14ac:dyDescent="0.3">
      <c r="A60">
        <v>4</v>
      </c>
      <c r="B60" t="s">
        <v>339</v>
      </c>
      <c r="E60" t="s">
        <v>383</v>
      </c>
    </row>
    <row r="61" spans="1:15" x14ac:dyDescent="0.3">
      <c r="A61">
        <v>5</v>
      </c>
      <c r="B61" t="s">
        <v>340</v>
      </c>
      <c r="E61" t="s">
        <v>383</v>
      </c>
    </row>
    <row r="62" spans="1:15" x14ac:dyDescent="0.3">
      <c r="A62">
        <v>6</v>
      </c>
      <c r="B62" t="s">
        <v>341</v>
      </c>
      <c r="E62" t="s">
        <v>383</v>
      </c>
    </row>
    <row r="63" spans="1:15" x14ac:dyDescent="0.3">
      <c r="A63">
        <v>7</v>
      </c>
      <c r="B63" t="s">
        <v>342</v>
      </c>
      <c r="E63" t="s">
        <v>383</v>
      </c>
    </row>
    <row r="64" spans="1:15" x14ac:dyDescent="0.3">
      <c r="A64">
        <v>8</v>
      </c>
      <c r="B64" t="s">
        <v>343</v>
      </c>
      <c r="E64" t="s">
        <v>383</v>
      </c>
    </row>
    <row r="65" spans="1:5" x14ac:dyDescent="0.3">
      <c r="A65">
        <v>9</v>
      </c>
      <c r="B65" t="s">
        <v>344</v>
      </c>
      <c r="E65" t="s">
        <v>383</v>
      </c>
    </row>
    <row r="66" spans="1:5" x14ac:dyDescent="0.3">
      <c r="A66">
        <v>10</v>
      </c>
      <c r="B66" t="s">
        <v>345</v>
      </c>
      <c r="E66" t="s">
        <v>383</v>
      </c>
    </row>
    <row r="67" spans="1:5" x14ac:dyDescent="0.3">
      <c r="A67">
        <v>11</v>
      </c>
      <c r="B67" t="s">
        <v>384</v>
      </c>
      <c r="E67" t="s">
        <v>383</v>
      </c>
    </row>
    <row r="68" spans="1:5" x14ac:dyDescent="0.3">
      <c r="A68">
        <v>12</v>
      </c>
      <c r="B68" t="s">
        <v>385</v>
      </c>
      <c r="E68" t="s">
        <v>383</v>
      </c>
    </row>
    <row r="69" spans="1:5" x14ac:dyDescent="0.3">
      <c r="A69">
        <v>13</v>
      </c>
      <c r="B69" t="s">
        <v>386</v>
      </c>
      <c r="E69" t="s">
        <v>383</v>
      </c>
    </row>
    <row r="70" spans="1:5" x14ac:dyDescent="0.3">
      <c r="A70">
        <v>14</v>
      </c>
      <c r="B70" t="s">
        <v>387</v>
      </c>
      <c r="E70" t="s">
        <v>383</v>
      </c>
    </row>
    <row r="71" spans="1:5" x14ac:dyDescent="0.3">
      <c r="A71">
        <v>15</v>
      </c>
      <c r="B71" t="s">
        <v>388</v>
      </c>
      <c r="E71" t="s">
        <v>383</v>
      </c>
    </row>
    <row r="72" spans="1:5" x14ac:dyDescent="0.3">
      <c r="A72">
        <v>16</v>
      </c>
      <c r="B72" t="s">
        <v>389</v>
      </c>
      <c r="E72" t="s">
        <v>383</v>
      </c>
    </row>
    <row r="73" spans="1:5" x14ac:dyDescent="0.3">
      <c r="A73">
        <v>17</v>
      </c>
      <c r="B73" t="s">
        <v>390</v>
      </c>
      <c r="E73" t="s">
        <v>383</v>
      </c>
    </row>
    <row r="74" spans="1:5" x14ac:dyDescent="0.3">
      <c r="A74">
        <v>18</v>
      </c>
      <c r="B74" t="s">
        <v>391</v>
      </c>
      <c r="E74" t="s">
        <v>383</v>
      </c>
    </row>
    <row r="75" spans="1:5" x14ac:dyDescent="0.3">
      <c r="A75">
        <v>19</v>
      </c>
      <c r="B75" t="s">
        <v>392</v>
      </c>
      <c r="E75" t="s">
        <v>383</v>
      </c>
    </row>
    <row r="76" spans="1:5" x14ac:dyDescent="0.3">
      <c r="A76">
        <v>20</v>
      </c>
      <c r="B76" t="s">
        <v>393</v>
      </c>
      <c r="E76" t="s">
        <v>383</v>
      </c>
    </row>
    <row r="77" spans="1:5" x14ac:dyDescent="0.3">
      <c r="A77">
        <v>21</v>
      </c>
      <c r="B77" t="s">
        <v>346</v>
      </c>
      <c r="E77" t="s">
        <v>383</v>
      </c>
    </row>
    <row r="78" spans="1:5" x14ac:dyDescent="0.3">
      <c r="A78">
        <v>22</v>
      </c>
      <c r="B78" t="s">
        <v>347</v>
      </c>
      <c r="E78" t="s">
        <v>383</v>
      </c>
    </row>
    <row r="79" spans="1:5" x14ac:dyDescent="0.3">
      <c r="A79">
        <v>23</v>
      </c>
      <c r="B79" t="s">
        <v>348</v>
      </c>
      <c r="E79" t="s">
        <v>383</v>
      </c>
    </row>
    <row r="80" spans="1:5" x14ac:dyDescent="0.3">
      <c r="A80">
        <v>24</v>
      </c>
      <c r="B80" t="s">
        <v>350</v>
      </c>
      <c r="E80" t="s">
        <v>383</v>
      </c>
    </row>
    <row r="81" spans="1:5" x14ac:dyDescent="0.3">
      <c r="A81">
        <v>25</v>
      </c>
      <c r="B81" t="s">
        <v>394</v>
      </c>
      <c r="E81" t="s">
        <v>383</v>
      </c>
    </row>
    <row r="82" spans="1:5" x14ac:dyDescent="0.3">
      <c r="A82">
        <v>26</v>
      </c>
      <c r="B82" t="s">
        <v>395</v>
      </c>
      <c r="E82" t="s">
        <v>383</v>
      </c>
    </row>
    <row r="83" spans="1:5" x14ac:dyDescent="0.3">
      <c r="A83">
        <v>27</v>
      </c>
      <c r="B83" t="s">
        <v>351</v>
      </c>
      <c r="E83" t="s">
        <v>383</v>
      </c>
    </row>
    <row r="84" spans="1:5" x14ac:dyDescent="0.3">
      <c r="A84">
        <v>28</v>
      </c>
      <c r="B84" t="s">
        <v>352</v>
      </c>
      <c r="E84" t="s">
        <v>383</v>
      </c>
    </row>
    <row r="85" spans="1:5" x14ac:dyDescent="0.3">
      <c r="A85">
        <v>29</v>
      </c>
      <c r="B85" t="s">
        <v>354</v>
      </c>
      <c r="E85" t="s">
        <v>383</v>
      </c>
    </row>
    <row r="86" spans="1:5" x14ac:dyDescent="0.3">
      <c r="A86">
        <v>30</v>
      </c>
      <c r="B86" t="s">
        <v>355</v>
      </c>
      <c r="E86" t="s">
        <v>383</v>
      </c>
    </row>
    <row r="87" spans="1:5" x14ac:dyDescent="0.3">
      <c r="A87">
        <v>31</v>
      </c>
      <c r="B87" t="s">
        <v>356</v>
      </c>
      <c r="E87" t="s">
        <v>383</v>
      </c>
    </row>
    <row r="88" spans="1:5" x14ac:dyDescent="0.3">
      <c r="A88">
        <v>32</v>
      </c>
      <c r="B88" t="s">
        <v>396</v>
      </c>
      <c r="E88" t="s">
        <v>383</v>
      </c>
    </row>
    <row r="89" spans="1:5" x14ac:dyDescent="0.3">
      <c r="A89">
        <v>33</v>
      </c>
      <c r="B89" t="s">
        <v>397</v>
      </c>
      <c r="E89" t="s">
        <v>383</v>
      </c>
    </row>
    <row r="90" spans="1:5" x14ac:dyDescent="0.3">
      <c r="A90">
        <v>34</v>
      </c>
      <c r="B90" t="s">
        <v>398</v>
      </c>
      <c r="E90" t="s">
        <v>383</v>
      </c>
    </row>
    <row r="91" spans="1:5" x14ac:dyDescent="0.3">
      <c r="A91">
        <v>35</v>
      </c>
      <c r="B91" t="s">
        <v>399</v>
      </c>
      <c r="E91" t="s">
        <v>383</v>
      </c>
    </row>
    <row r="92" spans="1:5" x14ac:dyDescent="0.3">
      <c r="A92">
        <v>36</v>
      </c>
      <c r="B92" t="s">
        <v>400</v>
      </c>
      <c r="E92" t="s">
        <v>383</v>
      </c>
    </row>
    <row r="93" spans="1:5" x14ac:dyDescent="0.3">
      <c r="A93">
        <v>37</v>
      </c>
      <c r="B93" t="s">
        <v>401</v>
      </c>
      <c r="E93" t="s">
        <v>383</v>
      </c>
    </row>
    <row r="94" spans="1:5" x14ac:dyDescent="0.3">
      <c r="A94">
        <v>38</v>
      </c>
      <c r="B94" t="s">
        <v>402</v>
      </c>
      <c r="E94" t="s">
        <v>383</v>
      </c>
    </row>
    <row r="95" spans="1:5" x14ac:dyDescent="0.3">
      <c r="A95">
        <v>39</v>
      </c>
      <c r="B95" t="s">
        <v>402</v>
      </c>
      <c r="E95" t="s">
        <v>383</v>
      </c>
    </row>
    <row r="96" spans="1:5" x14ac:dyDescent="0.3">
      <c r="A96">
        <v>40</v>
      </c>
      <c r="B96" t="s">
        <v>403</v>
      </c>
      <c r="E96" t="s">
        <v>383</v>
      </c>
    </row>
    <row r="97" spans="1:15" x14ac:dyDescent="0.3">
      <c r="A97">
        <v>41</v>
      </c>
      <c r="B97" t="s">
        <v>404</v>
      </c>
      <c r="E97" t="s">
        <v>383</v>
      </c>
    </row>
    <row r="98" spans="1:15" x14ac:dyDescent="0.3">
      <c r="A98">
        <v>42</v>
      </c>
      <c r="B98" t="s">
        <v>405</v>
      </c>
      <c r="E98" t="s">
        <v>383</v>
      </c>
    </row>
    <row r="99" spans="1:15" x14ac:dyDescent="0.3">
      <c r="A99">
        <v>43</v>
      </c>
      <c r="B99" t="s">
        <v>406</v>
      </c>
      <c r="E99" t="s">
        <v>383</v>
      </c>
    </row>
    <row r="100" spans="1:15" x14ac:dyDescent="0.3">
      <c r="A100">
        <v>44</v>
      </c>
      <c r="B100" t="s">
        <v>407</v>
      </c>
      <c r="E100" t="s">
        <v>383</v>
      </c>
    </row>
    <row r="101" spans="1:15" x14ac:dyDescent="0.3">
      <c r="A101">
        <v>45</v>
      </c>
      <c r="B101" t="s">
        <v>408</v>
      </c>
      <c r="E101" t="s">
        <v>383</v>
      </c>
    </row>
    <row r="102" spans="1:15" x14ac:dyDescent="0.3">
      <c r="A102">
        <v>46</v>
      </c>
      <c r="B102" t="s">
        <v>407</v>
      </c>
      <c r="E102" t="s">
        <v>383</v>
      </c>
    </row>
    <row r="103" spans="1:15" x14ac:dyDescent="0.3">
      <c r="A103">
        <v>47</v>
      </c>
      <c r="B103" t="s">
        <v>409</v>
      </c>
      <c r="E103" t="s">
        <v>383</v>
      </c>
    </row>
    <row r="104" spans="1:15" x14ac:dyDescent="0.3">
      <c r="A104" s="5">
        <v>48</v>
      </c>
      <c r="B104" t="s">
        <v>410</v>
      </c>
      <c r="E104" t="s">
        <v>383</v>
      </c>
    </row>
    <row r="105" spans="1:15" x14ac:dyDescent="0.3">
      <c r="A105" s="5">
        <v>49</v>
      </c>
      <c r="B105" s="4" t="s">
        <v>411</v>
      </c>
      <c r="C105" s="4"/>
      <c r="D105" s="9"/>
      <c r="E105" s="4" t="s">
        <v>383</v>
      </c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1:15" x14ac:dyDescent="0.3">
      <c r="A106">
        <v>50</v>
      </c>
      <c r="B106" s="4" t="s">
        <v>412</v>
      </c>
      <c r="C106" s="4"/>
      <c r="D106" s="9"/>
      <c r="E106" s="4" t="s">
        <v>383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</row>
    <row r="107" spans="1:15" x14ac:dyDescent="0.3">
      <c r="A107" s="5">
        <v>51</v>
      </c>
      <c r="B107" t="s">
        <v>413</v>
      </c>
      <c r="E107" t="s">
        <v>383</v>
      </c>
    </row>
    <row r="108" spans="1:15" x14ac:dyDescent="0.3">
      <c r="B108" s="4"/>
      <c r="C108" s="4"/>
      <c r="D108" s="9"/>
      <c r="E108" s="4" t="s">
        <v>415</v>
      </c>
      <c r="F108" s="4"/>
      <c r="G108" s="4"/>
      <c r="H108" s="4"/>
      <c r="I108" s="4"/>
      <c r="J108" s="4"/>
      <c r="K108" s="4"/>
      <c r="L108" s="4"/>
      <c r="M108" s="4"/>
      <c r="N108" s="4"/>
      <c r="O108" s="4"/>
    </row>
    <row r="109" spans="1:15" x14ac:dyDescent="0.3">
      <c r="A109" s="5" t="s">
        <v>414</v>
      </c>
      <c r="E109" t="s">
        <v>415</v>
      </c>
    </row>
    <row r="110" spans="1:15" x14ac:dyDescent="0.3">
      <c r="A110" t="s">
        <v>46</v>
      </c>
      <c r="B110" s="4" t="s">
        <v>47</v>
      </c>
      <c r="C110" s="4" t="s">
        <v>48</v>
      </c>
      <c r="D110" s="9" t="s">
        <v>49</v>
      </c>
      <c r="E110" s="4" t="s">
        <v>257</v>
      </c>
      <c r="F110" s="4"/>
      <c r="G110" s="4"/>
      <c r="H110" s="4"/>
      <c r="I110" s="4"/>
      <c r="J110" s="4"/>
      <c r="K110" s="4"/>
      <c r="L110" s="4"/>
      <c r="M110" s="4"/>
      <c r="N110" s="4"/>
      <c r="O110" s="4"/>
    </row>
    <row r="111" spans="1:15" x14ac:dyDescent="0.3">
      <c r="A111" s="5">
        <v>1</v>
      </c>
      <c r="B111" t="s">
        <v>335</v>
      </c>
      <c r="E111" t="s">
        <v>415</v>
      </c>
    </row>
    <row r="112" spans="1:15" x14ac:dyDescent="0.3">
      <c r="A112">
        <v>2</v>
      </c>
      <c r="B112" s="4" t="s">
        <v>337</v>
      </c>
      <c r="C112" s="4"/>
      <c r="D112" s="9"/>
      <c r="E112" s="4" t="s">
        <v>415</v>
      </c>
      <c r="F112" s="4"/>
      <c r="G112" s="4"/>
      <c r="H112" s="4"/>
      <c r="I112" s="4"/>
      <c r="J112" s="4"/>
      <c r="K112" s="4"/>
      <c r="L112" s="4"/>
      <c r="M112" s="4"/>
      <c r="N112" s="4"/>
      <c r="O112" s="4"/>
    </row>
    <row r="113" spans="1:15" x14ac:dyDescent="0.3">
      <c r="A113" s="5">
        <v>3</v>
      </c>
      <c r="B113" t="s">
        <v>338</v>
      </c>
      <c r="E113" t="s">
        <v>415</v>
      </c>
    </row>
    <row r="114" spans="1:15" x14ac:dyDescent="0.3">
      <c r="A114">
        <v>4</v>
      </c>
      <c r="B114" s="4" t="s">
        <v>339</v>
      </c>
      <c r="C114" s="4"/>
      <c r="D114" s="9"/>
      <c r="E114" s="4" t="s">
        <v>415</v>
      </c>
      <c r="F114" s="4"/>
      <c r="G114" s="4"/>
      <c r="H114" s="4"/>
      <c r="I114" s="4"/>
      <c r="J114" s="4"/>
      <c r="K114" s="4"/>
      <c r="L114" s="4"/>
      <c r="M114" s="4"/>
      <c r="N114" s="4"/>
      <c r="O114" s="4"/>
    </row>
    <row r="115" spans="1:15" x14ac:dyDescent="0.3">
      <c r="A115">
        <v>5</v>
      </c>
      <c r="B115" t="s">
        <v>340</v>
      </c>
      <c r="D115" s="6"/>
      <c r="E115" t="s">
        <v>415</v>
      </c>
    </row>
    <row r="116" spans="1:15" x14ac:dyDescent="0.3">
      <c r="A116">
        <v>6</v>
      </c>
      <c r="B116" t="s">
        <v>341</v>
      </c>
      <c r="E116" t="s">
        <v>415</v>
      </c>
    </row>
    <row r="117" spans="1:15" x14ac:dyDescent="0.3">
      <c r="A117">
        <v>7</v>
      </c>
      <c r="B117" t="s">
        <v>342</v>
      </c>
      <c r="D117" s="6"/>
      <c r="E117" t="s">
        <v>415</v>
      </c>
    </row>
    <row r="118" spans="1:15" x14ac:dyDescent="0.3">
      <c r="A118">
        <v>8</v>
      </c>
      <c r="B118" t="s">
        <v>343</v>
      </c>
      <c r="E118" t="s">
        <v>415</v>
      </c>
    </row>
    <row r="119" spans="1:15" x14ac:dyDescent="0.3">
      <c r="A119">
        <v>9</v>
      </c>
      <c r="B119" t="s">
        <v>344</v>
      </c>
      <c r="E119" t="s">
        <v>415</v>
      </c>
    </row>
    <row r="120" spans="1:15" x14ac:dyDescent="0.3">
      <c r="A120" s="5">
        <v>10</v>
      </c>
      <c r="B120" t="s">
        <v>345</v>
      </c>
      <c r="E120" t="s">
        <v>415</v>
      </c>
    </row>
    <row r="121" spans="1:15" x14ac:dyDescent="0.3">
      <c r="A121">
        <v>11</v>
      </c>
      <c r="B121" s="4" t="s">
        <v>384</v>
      </c>
      <c r="C121" s="4"/>
      <c r="D121" s="9"/>
      <c r="E121" s="4" t="s">
        <v>415</v>
      </c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1:15" x14ac:dyDescent="0.3">
      <c r="A122" s="5">
        <v>12</v>
      </c>
      <c r="B122" t="s">
        <v>385</v>
      </c>
      <c r="E122" t="s">
        <v>415</v>
      </c>
    </row>
    <row r="123" spans="1:15" x14ac:dyDescent="0.3">
      <c r="A123">
        <v>13</v>
      </c>
      <c r="B123" s="4" t="s">
        <v>386</v>
      </c>
      <c r="C123" s="4"/>
      <c r="D123" s="9"/>
      <c r="E123" s="4" t="s">
        <v>415</v>
      </c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1:15" x14ac:dyDescent="0.3">
      <c r="A124">
        <v>14</v>
      </c>
      <c r="B124" t="s">
        <v>387</v>
      </c>
      <c r="E124" t="s">
        <v>415</v>
      </c>
    </row>
    <row r="125" spans="1:15" x14ac:dyDescent="0.3">
      <c r="A125">
        <v>15</v>
      </c>
      <c r="B125" t="s">
        <v>388</v>
      </c>
      <c r="E125" t="s">
        <v>415</v>
      </c>
    </row>
    <row r="126" spans="1:15" x14ac:dyDescent="0.3">
      <c r="A126">
        <v>16</v>
      </c>
      <c r="B126" t="s">
        <v>346</v>
      </c>
      <c r="E126" t="s">
        <v>415</v>
      </c>
    </row>
    <row r="127" spans="1:15" x14ac:dyDescent="0.3">
      <c r="A127">
        <v>17</v>
      </c>
      <c r="B127" t="s">
        <v>347</v>
      </c>
      <c r="E127" t="s">
        <v>415</v>
      </c>
    </row>
    <row r="128" spans="1:15" x14ac:dyDescent="0.3">
      <c r="A128">
        <v>18</v>
      </c>
      <c r="B128" t="s">
        <v>348</v>
      </c>
      <c r="E128" t="s">
        <v>415</v>
      </c>
    </row>
    <row r="129" spans="1:15" x14ac:dyDescent="0.3">
      <c r="A129">
        <v>19</v>
      </c>
      <c r="B129" t="s">
        <v>350</v>
      </c>
      <c r="E129" t="s">
        <v>415</v>
      </c>
    </row>
    <row r="130" spans="1:15" ht="43.2" x14ac:dyDescent="0.3">
      <c r="A130" s="5">
        <v>20</v>
      </c>
      <c r="B130" t="s">
        <v>351</v>
      </c>
      <c r="E130" t="s">
        <v>415</v>
      </c>
      <c r="G130" t="s">
        <v>73</v>
      </c>
      <c r="H130" s="6" t="s">
        <v>74</v>
      </c>
      <c r="I130" t="s">
        <v>253</v>
      </c>
    </row>
    <row r="131" spans="1:15" x14ac:dyDescent="0.3">
      <c r="A131">
        <v>21</v>
      </c>
      <c r="B131" s="4" t="s">
        <v>353</v>
      </c>
      <c r="C131" s="4"/>
      <c r="D131" s="9"/>
      <c r="E131" s="4" t="s">
        <v>415</v>
      </c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1:15" x14ac:dyDescent="0.3">
      <c r="A132">
        <v>22</v>
      </c>
      <c r="B132" t="s">
        <v>351</v>
      </c>
      <c r="E132" t="s">
        <v>415</v>
      </c>
    </row>
    <row r="133" spans="1:15" x14ac:dyDescent="0.3">
      <c r="A133">
        <v>23</v>
      </c>
      <c r="B133" t="s">
        <v>352</v>
      </c>
      <c r="E133" t="s">
        <v>415</v>
      </c>
    </row>
    <row r="134" spans="1:15" x14ac:dyDescent="0.3">
      <c r="A134" s="5">
        <v>24</v>
      </c>
      <c r="B134" t="s">
        <v>354</v>
      </c>
      <c r="E134" t="s">
        <v>415</v>
      </c>
      <c r="G134" t="s">
        <v>50</v>
      </c>
      <c r="H134" t="s">
        <v>51</v>
      </c>
      <c r="I134" t="s">
        <v>253</v>
      </c>
    </row>
    <row r="135" spans="1:15" x14ac:dyDescent="0.3">
      <c r="A135">
        <v>25</v>
      </c>
      <c r="B135" s="4" t="s">
        <v>355</v>
      </c>
      <c r="C135" s="4"/>
      <c r="D135" s="9"/>
      <c r="E135" s="4" t="s">
        <v>415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1:15" x14ac:dyDescent="0.3">
      <c r="A136">
        <v>26</v>
      </c>
      <c r="B136" t="s">
        <v>356</v>
      </c>
      <c r="E136" t="s">
        <v>415</v>
      </c>
    </row>
    <row r="137" spans="1:15" x14ac:dyDescent="0.3">
      <c r="A137">
        <v>27</v>
      </c>
      <c r="B137" t="s">
        <v>416</v>
      </c>
      <c r="E137" t="s">
        <v>415</v>
      </c>
    </row>
    <row r="138" spans="1:15" x14ac:dyDescent="0.3">
      <c r="A138">
        <v>28</v>
      </c>
      <c r="B138" t="s">
        <v>356</v>
      </c>
      <c r="E138" t="s">
        <v>415</v>
      </c>
    </row>
    <row r="139" spans="1:15" x14ac:dyDescent="0.3">
      <c r="A139" s="5">
        <v>29</v>
      </c>
      <c r="B139" t="s">
        <v>396</v>
      </c>
      <c r="E139" t="s">
        <v>415</v>
      </c>
      <c r="G139" t="s">
        <v>76</v>
      </c>
      <c r="I139" t="s">
        <v>254</v>
      </c>
    </row>
    <row r="140" spans="1:15" x14ac:dyDescent="0.3">
      <c r="A140">
        <v>30</v>
      </c>
      <c r="B140" s="4" t="s">
        <v>397</v>
      </c>
      <c r="C140" s="4"/>
      <c r="D140" s="9"/>
      <c r="E140" s="4" t="s">
        <v>415</v>
      </c>
      <c r="F140" s="4"/>
      <c r="G140" s="4"/>
      <c r="H140" s="4"/>
      <c r="I140" s="4"/>
      <c r="J140" s="4"/>
      <c r="K140" s="4"/>
      <c r="L140" s="4"/>
      <c r="M140" s="4"/>
      <c r="N140" s="4"/>
      <c r="O140" s="4"/>
    </row>
    <row r="141" spans="1:15" x14ac:dyDescent="0.3">
      <c r="A141">
        <v>31</v>
      </c>
      <c r="B141" t="s">
        <v>398</v>
      </c>
      <c r="E141" t="s">
        <v>415</v>
      </c>
      <c r="G141" t="s">
        <v>77</v>
      </c>
      <c r="H141" t="s">
        <v>78</v>
      </c>
      <c r="I141" t="s">
        <v>254</v>
      </c>
    </row>
    <row r="142" spans="1:15" x14ac:dyDescent="0.3">
      <c r="A142">
        <v>32</v>
      </c>
      <c r="B142" t="s">
        <v>399</v>
      </c>
      <c r="E142" t="s">
        <v>415</v>
      </c>
    </row>
    <row r="143" spans="1:15" x14ac:dyDescent="0.3">
      <c r="A143" s="5">
        <v>33</v>
      </c>
      <c r="B143" t="s">
        <v>417</v>
      </c>
      <c r="D143" s="6"/>
      <c r="E143" t="s">
        <v>415</v>
      </c>
      <c r="G143" t="s">
        <v>79</v>
      </c>
      <c r="I143" t="s">
        <v>254</v>
      </c>
    </row>
    <row r="144" spans="1:15" x14ac:dyDescent="0.3">
      <c r="A144" s="5">
        <v>34</v>
      </c>
      <c r="B144" s="4" t="s">
        <v>399</v>
      </c>
      <c r="C144" s="4"/>
      <c r="D144" s="10"/>
      <c r="E144" s="4" t="s">
        <v>415</v>
      </c>
      <c r="F144" s="4"/>
      <c r="G144" s="4"/>
      <c r="H144" s="4"/>
      <c r="I144" s="4"/>
      <c r="J144" s="4"/>
      <c r="K144" s="4"/>
      <c r="L144" s="4"/>
      <c r="M144" s="4"/>
      <c r="N144" s="4"/>
      <c r="O144" s="4"/>
    </row>
    <row r="145" spans="1:15" x14ac:dyDescent="0.3">
      <c r="A145">
        <v>35</v>
      </c>
      <c r="B145" s="4" t="s">
        <v>400</v>
      </c>
      <c r="C145" s="4"/>
      <c r="D145" s="9"/>
      <c r="E145" s="4" t="s">
        <v>415</v>
      </c>
      <c r="F145" s="4"/>
      <c r="G145" s="4" t="s">
        <v>81</v>
      </c>
      <c r="H145" s="4" t="s">
        <v>82</v>
      </c>
      <c r="I145" s="4" t="s">
        <v>254</v>
      </c>
      <c r="J145" s="4"/>
      <c r="K145" s="4"/>
      <c r="L145" s="4"/>
      <c r="M145" s="4"/>
      <c r="N145" s="4"/>
      <c r="O145" s="4"/>
    </row>
    <row r="146" spans="1:15" x14ac:dyDescent="0.3">
      <c r="A146" s="5">
        <v>36</v>
      </c>
      <c r="B146" t="s">
        <v>418</v>
      </c>
      <c r="E146" t="s">
        <v>415</v>
      </c>
    </row>
    <row r="147" spans="1:15" x14ac:dyDescent="0.3">
      <c r="A147">
        <v>37</v>
      </c>
      <c r="B147" s="4" t="s">
        <v>419</v>
      </c>
      <c r="C147" s="4"/>
      <c r="D147" s="10"/>
      <c r="E147" s="4" t="s">
        <v>415</v>
      </c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1:15" x14ac:dyDescent="0.3">
      <c r="A148">
        <v>38</v>
      </c>
      <c r="B148" t="s">
        <v>420</v>
      </c>
      <c r="D148" s="6"/>
      <c r="E148" t="s">
        <v>415</v>
      </c>
      <c r="G148" t="s">
        <v>83</v>
      </c>
      <c r="H148" t="s">
        <v>84</v>
      </c>
      <c r="I148" t="s">
        <v>254</v>
      </c>
    </row>
    <row r="149" spans="1:15" x14ac:dyDescent="0.3">
      <c r="E149" t="s">
        <v>255</v>
      </c>
    </row>
    <row r="150" spans="1:15" x14ac:dyDescent="0.3">
      <c r="A150" s="5"/>
      <c r="E150" t="s">
        <v>255</v>
      </c>
    </row>
    <row r="151" spans="1:15" x14ac:dyDescent="0.3">
      <c r="B151" s="4"/>
      <c r="C151" s="4"/>
      <c r="D151" s="9"/>
      <c r="E151" s="4" t="s">
        <v>257</v>
      </c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1:15" x14ac:dyDescent="0.3">
      <c r="E152" t="s">
        <v>255</v>
      </c>
    </row>
    <row r="153" spans="1:15" x14ac:dyDescent="0.3">
      <c r="E153" t="s">
        <v>255</v>
      </c>
    </row>
    <row r="154" spans="1:15" x14ac:dyDescent="0.3">
      <c r="A154" s="5"/>
      <c r="E154" t="s">
        <v>255</v>
      </c>
    </row>
    <row r="155" spans="1:15" x14ac:dyDescent="0.3">
      <c r="B155" s="4"/>
      <c r="C155" s="4"/>
      <c r="D155" s="9"/>
      <c r="E155" s="4" t="s">
        <v>255</v>
      </c>
      <c r="F155" s="4"/>
      <c r="G155" s="4" t="s">
        <v>85</v>
      </c>
      <c r="H155" s="4"/>
      <c r="I155" s="4" t="s">
        <v>184</v>
      </c>
      <c r="J155" s="4"/>
      <c r="K155" s="4"/>
      <c r="L155" s="4"/>
      <c r="M155" s="4"/>
      <c r="N155" s="4"/>
      <c r="O155" s="4"/>
    </row>
    <row r="156" spans="1:15" x14ac:dyDescent="0.3">
      <c r="A156" s="5"/>
      <c r="E156" t="s">
        <v>255</v>
      </c>
    </row>
    <row r="157" spans="1:15" x14ac:dyDescent="0.3">
      <c r="B157" s="4"/>
      <c r="C157" s="4"/>
      <c r="D157" s="9"/>
      <c r="E157" s="4" t="s">
        <v>255</v>
      </c>
      <c r="F157" s="4"/>
      <c r="G157" s="4" t="s">
        <v>86</v>
      </c>
      <c r="H157" s="4" t="s">
        <v>87</v>
      </c>
      <c r="I157" s="4" t="s">
        <v>184</v>
      </c>
      <c r="J157" s="4"/>
      <c r="K157" s="4"/>
      <c r="L157" s="4"/>
      <c r="M157" s="4"/>
      <c r="N157" s="4"/>
      <c r="O157" s="4"/>
    </row>
    <row r="158" spans="1:15" x14ac:dyDescent="0.3">
      <c r="E158" t="s">
        <v>255</v>
      </c>
    </row>
    <row r="159" spans="1:15" x14ac:dyDescent="0.3">
      <c r="E159" t="s">
        <v>8</v>
      </c>
      <c r="G159" t="s">
        <v>79</v>
      </c>
      <c r="I159" t="s">
        <v>184</v>
      </c>
    </row>
    <row r="160" spans="1:15" x14ac:dyDescent="0.3">
      <c r="A160" s="5"/>
      <c r="E160" t="s">
        <v>8</v>
      </c>
    </row>
    <row r="161" spans="1:15" x14ac:dyDescent="0.3">
      <c r="B161" s="4"/>
      <c r="C161" s="4"/>
      <c r="D161" s="9"/>
      <c r="E161" s="4" t="s">
        <v>257</v>
      </c>
      <c r="F161" s="4"/>
      <c r="G161" s="4"/>
      <c r="H161" s="4"/>
      <c r="I161" s="4"/>
      <c r="J161" s="4"/>
      <c r="K161" s="4"/>
      <c r="L161" s="4"/>
      <c r="M161" s="4"/>
      <c r="N161" s="4"/>
      <c r="O161" s="4"/>
    </row>
    <row r="162" spans="1:15" x14ac:dyDescent="0.3">
      <c r="A162" s="5"/>
      <c r="E162" t="s">
        <v>8</v>
      </c>
    </row>
    <row r="163" spans="1:15" x14ac:dyDescent="0.3">
      <c r="B163" s="4"/>
      <c r="C163" s="4"/>
      <c r="D163" s="9"/>
      <c r="E163" s="4" t="s">
        <v>8</v>
      </c>
      <c r="F163" s="4"/>
      <c r="G163" s="4"/>
      <c r="H163" s="4"/>
      <c r="I163" s="4"/>
      <c r="J163" s="4"/>
      <c r="K163" s="4"/>
      <c r="L163" s="4"/>
      <c r="M163" s="4"/>
      <c r="N163" s="4"/>
      <c r="O163" s="4"/>
    </row>
    <row r="164" spans="1:15" x14ac:dyDescent="0.3">
      <c r="E164" t="s">
        <v>8</v>
      </c>
    </row>
    <row r="165" spans="1:15" x14ac:dyDescent="0.3">
      <c r="E165" t="s">
        <v>256</v>
      </c>
    </row>
    <row r="166" spans="1:15" x14ac:dyDescent="0.3">
      <c r="A166" s="5"/>
      <c r="E166" t="s">
        <v>256</v>
      </c>
    </row>
    <row r="167" spans="1:15" x14ac:dyDescent="0.3">
      <c r="A167" s="5"/>
      <c r="B167" s="4"/>
      <c r="C167" s="4"/>
      <c r="D167" s="9"/>
      <c r="E167" s="4" t="s">
        <v>257</v>
      </c>
      <c r="F167" s="4"/>
      <c r="G167" s="4" t="s">
        <v>89</v>
      </c>
      <c r="H167" s="4" t="s">
        <v>51</v>
      </c>
      <c r="I167" s="4" t="s">
        <v>89</v>
      </c>
      <c r="J167" s="4"/>
      <c r="K167" s="4"/>
      <c r="L167" s="4"/>
      <c r="M167" s="4"/>
      <c r="N167" s="4"/>
      <c r="O167" s="4"/>
    </row>
    <row r="168" spans="1:15" x14ac:dyDescent="0.3">
      <c r="B168" s="4"/>
      <c r="C168" s="4"/>
      <c r="D168" s="9"/>
      <c r="E168" s="4" t="s">
        <v>256</v>
      </c>
      <c r="F168" s="4"/>
      <c r="G168" s="4"/>
      <c r="H168" s="4"/>
      <c r="I168" s="4"/>
      <c r="J168" s="4"/>
      <c r="K168" s="4"/>
      <c r="L168" s="4"/>
      <c r="M168" s="4"/>
      <c r="N168" s="4"/>
      <c r="O168" s="4"/>
    </row>
    <row r="169" spans="1:15" ht="28.8" x14ac:dyDescent="0.3">
      <c r="A169" s="5"/>
      <c r="E169" t="s">
        <v>256</v>
      </c>
      <c r="G169" t="s">
        <v>297</v>
      </c>
      <c r="H169" s="6" t="s">
        <v>298</v>
      </c>
      <c r="I169" t="s">
        <v>89</v>
      </c>
    </row>
    <row r="170" spans="1:15" x14ac:dyDescent="0.3">
      <c r="B170" s="4"/>
      <c r="C170" s="4"/>
      <c r="D170" s="9"/>
      <c r="E170" s="4" t="s">
        <v>256</v>
      </c>
      <c r="F170" s="4"/>
      <c r="G170" s="4"/>
      <c r="H170" s="4"/>
      <c r="I170" s="4"/>
      <c r="J170" s="4"/>
      <c r="K170" s="4"/>
      <c r="L170" s="4"/>
      <c r="M170" s="4"/>
      <c r="N170" s="4"/>
      <c r="O170" s="4"/>
    </row>
    <row r="171" spans="1:15" x14ac:dyDescent="0.3">
      <c r="E171" t="s">
        <v>256</v>
      </c>
    </row>
    <row r="173" spans="1:15" x14ac:dyDescent="0.3">
      <c r="A173" s="5"/>
    </row>
    <row r="174" spans="1:15" x14ac:dyDescent="0.3">
      <c r="B174" s="4"/>
      <c r="C174" s="4"/>
      <c r="D174" s="9"/>
      <c r="E174" s="4" t="s">
        <v>257</v>
      </c>
      <c r="F174" s="4"/>
      <c r="G174" s="4"/>
      <c r="H174" s="4"/>
      <c r="I174" s="4"/>
      <c r="J174" s="4"/>
      <c r="K174" s="4"/>
      <c r="L174" s="4"/>
      <c r="M174" s="4"/>
      <c r="N174" s="4"/>
      <c r="O174" s="4"/>
    </row>
    <row r="175" spans="1:15" x14ac:dyDescent="0.3">
      <c r="G175" t="s">
        <v>90</v>
      </c>
      <c r="H175" t="s">
        <v>88</v>
      </c>
      <c r="I175" t="s">
        <v>255</v>
      </c>
    </row>
    <row r="177" spans="7:9" x14ac:dyDescent="0.3">
      <c r="G177" t="s">
        <v>92</v>
      </c>
      <c r="H177" t="s">
        <v>93</v>
      </c>
      <c r="I177" t="s">
        <v>255</v>
      </c>
    </row>
    <row r="179" spans="7:9" x14ac:dyDescent="0.3">
      <c r="G179" t="s">
        <v>94</v>
      </c>
      <c r="H179" t="s">
        <v>95</v>
      </c>
      <c r="I179" t="s">
        <v>255</v>
      </c>
    </row>
    <row r="181" spans="7:9" x14ac:dyDescent="0.3">
      <c r="G181" t="s">
        <v>96</v>
      </c>
      <c r="H181" t="s">
        <v>97</v>
      </c>
      <c r="I181" t="s">
        <v>255</v>
      </c>
    </row>
    <row r="183" spans="7:9" x14ac:dyDescent="0.3">
      <c r="G183" t="s">
        <v>98</v>
      </c>
      <c r="H183" t="s">
        <v>99</v>
      </c>
      <c r="I183" t="s">
        <v>255</v>
      </c>
    </row>
    <row r="185" spans="7:9" x14ac:dyDescent="0.3">
      <c r="G185" t="s">
        <v>100</v>
      </c>
      <c r="H185" t="s">
        <v>101</v>
      </c>
      <c r="I185" t="s">
        <v>255</v>
      </c>
    </row>
    <row r="191" spans="7:9" x14ac:dyDescent="0.3">
      <c r="G191" t="s">
        <v>102</v>
      </c>
      <c r="H191" t="s">
        <v>103</v>
      </c>
      <c r="I191" t="s">
        <v>8</v>
      </c>
    </row>
    <row r="193" spans="7:9" x14ac:dyDescent="0.3">
      <c r="G193" t="s">
        <v>104</v>
      </c>
      <c r="H193" t="s">
        <v>105</v>
      </c>
      <c r="I193" t="s">
        <v>8</v>
      </c>
    </row>
    <row r="195" spans="7:9" x14ac:dyDescent="0.3">
      <c r="G195" t="s">
        <v>102</v>
      </c>
      <c r="H195" t="s">
        <v>106</v>
      </c>
      <c r="I195" t="s">
        <v>8</v>
      </c>
    </row>
    <row r="200" spans="7:9" x14ac:dyDescent="0.3">
      <c r="G200" t="s">
        <v>107</v>
      </c>
      <c r="H200" t="s">
        <v>108</v>
      </c>
      <c r="I200" t="s">
        <v>256</v>
      </c>
    </row>
    <row r="202" spans="7:9" x14ac:dyDescent="0.3">
      <c r="G202" t="s">
        <v>109</v>
      </c>
      <c r="H202" t="s">
        <v>110</v>
      </c>
      <c r="I202" t="s">
        <v>256</v>
      </c>
    </row>
    <row r="204" spans="7:9" x14ac:dyDescent="0.3">
      <c r="G204" t="s">
        <v>111</v>
      </c>
      <c r="H204" t="s">
        <v>112</v>
      </c>
      <c r="I204" t="s">
        <v>256</v>
      </c>
    </row>
    <row r="206" spans="7:9" x14ac:dyDescent="0.3">
      <c r="G206" t="s">
        <v>113</v>
      </c>
      <c r="H206" t="s">
        <v>114</v>
      </c>
      <c r="I206" t="s">
        <v>256</v>
      </c>
    </row>
  </sheetData>
  <sortState ref="G2:I42">
    <sortCondition ref="G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85"/>
  <sheetViews>
    <sheetView workbookViewId="0">
      <selection activeCell="F10" sqref="F10"/>
    </sheetView>
  </sheetViews>
  <sheetFormatPr defaultRowHeight="14.4" x14ac:dyDescent="0.3"/>
  <cols>
    <col min="1" max="1" width="5.77734375" customWidth="1"/>
    <col min="2" max="2" width="12.77734375" customWidth="1"/>
    <col min="3" max="3" width="70.77734375" style="117" customWidth="1"/>
    <col min="4" max="4" width="14.77734375" customWidth="1"/>
    <col min="5" max="5" width="21.6640625" customWidth="1"/>
    <col min="6" max="6" width="70.5546875" customWidth="1"/>
    <col min="7" max="8" width="80.88671875" bestFit="1" customWidth="1"/>
    <col min="9" max="9" width="63.5546875" bestFit="1" customWidth="1"/>
    <col min="10" max="12" width="33.33203125" bestFit="1" customWidth="1"/>
    <col min="13" max="13" width="80.88671875" bestFit="1" customWidth="1"/>
    <col min="14" max="30" width="33.33203125" bestFit="1" customWidth="1"/>
    <col min="31" max="31" width="74.5546875" bestFit="1" customWidth="1"/>
    <col min="32" max="33" width="80.88671875" bestFit="1" customWidth="1"/>
    <col min="34" max="34" width="65.5546875" bestFit="1" customWidth="1"/>
    <col min="35" max="35" width="80.88671875" bestFit="1" customWidth="1"/>
    <col min="36" max="36" width="71.5546875" bestFit="1" customWidth="1"/>
    <col min="37" max="37" width="80.88671875" bestFit="1" customWidth="1"/>
    <col min="38" max="38" width="27.88671875" bestFit="1" customWidth="1"/>
    <col min="39" max="39" width="31.77734375" bestFit="1" customWidth="1"/>
    <col min="40" max="40" width="80.88671875" bestFit="1" customWidth="1"/>
    <col min="41" max="41" width="38.21875" bestFit="1" customWidth="1"/>
    <col min="42" max="49" width="80.88671875" bestFit="1" customWidth="1"/>
    <col min="50" max="50" width="70.21875" bestFit="1" customWidth="1"/>
    <col min="51" max="51" width="80.88671875" bestFit="1" customWidth="1"/>
    <col min="52" max="52" width="46.77734375" bestFit="1" customWidth="1"/>
    <col min="53" max="54" width="80.88671875" bestFit="1" customWidth="1"/>
    <col min="55" max="55" width="77.21875" bestFit="1" customWidth="1"/>
    <col min="56" max="57" width="80.88671875" bestFit="1" customWidth="1"/>
    <col min="58" max="58" width="63.5546875" bestFit="1" customWidth="1"/>
    <col min="59" max="61" width="33.33203125" bestFit="1" customWidth="1"/>
    <col min="62" max="62" width="80.88671875" bestFit="1" customWidth="1"/>
    <col min="63" max="79" width="33.33203125" bestFit="1" customWidth="1"/>
    <col min="80" max="80" width="74.5546875" bestFit="1" customWidth="1"/>
    <col min="81" max="82" width="80.88671875" bestFit="1" customWidth="1"/>
    <col min="83" max="83" width="65.5546875" bestFit="1" customWidth="1"/>
    <col min="84" max="84" width="80.88671875" bestFit="1" customWidth="1"/>
    <col min="85" max="85" width="71.5546875" bestFit="1" customWidth="1"/>
    <col min="86" max="86" width="80.88671875" bestFit="1" customWidth="1"/>
    <col min="87" max="87" width="27.88671875" bestFit="1" customWidth="1"/>
    <col min="88" max="88" width="31.77734375" bestFit="1" customWidth="1"/>
    <col min="89" max="89" width="80.88671875" bestFit="1" customWidth="1"/>
    <col min="90" max="90" width="38.21875" bestFit="1" customWidth="1"/>
    <col min="91" max="98" width="80.88671875" bestFit="1" customWidth="1"/>
    <col min="99" max="99" width="70.21875" bestFit="1" customWidth="1"/>
    <col min="100" max="100" width="80.88671875" bestFit="1" customWidth="1"/>
    <col min="101" max="101" width="46.77734375" bestFit="1" customWidth="1"/>
    <col min="102" max="103" width="80.88671875" bestFit="1" customWidth="1"/>
    <col min="104" max="104" width="77.21875" bestFit="1" customWidth="1"/>
    <col min="105" max="106" width="80.88671875" bestFit="1" customWidth="1"/>
    <col min="107" max="107" width="63.5546875" bestFit="1" customWidth="1"/>
    <col min="108" max="110" width="33.33203125" bestFit="1" customWidth="1"/>
    <col min="111" max="111" width="80.88671875" bestFit="1" customWidth="1"/>
    <col min="112" max="128" width="33.33203125" bestFit="1" customWidth="1"/>
    <col min="129" max="129" width="74.5546875" bestFit="1" customWidth="1"/>
    <col min="130" max="131" width="80.88671875" bestFit="1" customWidth="1"/>
    <col min="132" max="132" width="65.5546875" bestFit="1" customWidth="1"/>
    <col min="133" max="133" width="80.88671875" bestFit="1" customWidth="1"/>
    <col min="134" max="134" width="71.5546875" bestFit="1" customWidth="1"/>
    <col min="135" max="135" width="80.88671875" bestFit="1" customWidth="1"/>
    <col min="136" max="136" width="27.88671875" bestFit="1" customWidth="1"/>
    <col min="137" max="137" width="31.77734375" bestFit="1" customWidth="1"/>
    <col min="138" max="138" width="80.88671875" bestFit="1" customWidth="1"/>
    <col min="139" max="139" width="38.21875" bestFit="1" customWidth="1"/>
    <col min="140" max="147" width="80.88671875" bestFit="1" customWidth="1"/>
    <col min="148" max="148" width="70.21875" bestFit="1" customWidth="1"/>
    <col min="149" max="149" width="80.88671875" bestFit="1" customWidth="1"/>
    <col min="150" max="150" width="46.77734375" bestFit="1" customWidth="1"/>
    <col min="151" max="152" width="80.88671875" bestFit="1" customWidth="1"/>
    <col min="153" max="153" width="77.21875" bestFit="1" customWidth="1"/>
    <col min="154" max="155" width="80.88671875" bestFit="1" customWidth="1"/>
    <col min="156" max="156" width="63.5546875" bestFit="1" customWidth="1"/>
    <col min="157" max="159" width="33.33203125" bestFit="1" customWidth="1"/>
    <col min="160" max="160" width="80.88671875" bestFit="1" customWidth="1"/>
    <col min="161" max="177" width="33.33203125" bestFit="1" customWidth="1"/>
    <col min="178" max="178" width="74.5546875" bestFit="1" customWidth="1"/>
    <col min="179" max="180" width="80.88671875" bestFit="1" customWidth="1"/>
    <col min="181" max="181" width="65.5546875" bestFit="1" customWidth="1"/>
    <col min="182" max="182" width="80.88671875" bestFit="1" customWidth="1"/>
    <col min="183" max="183" width="71.5546875" bestFit="1" customWidth="1"/>
    <col min="184" max="184" width="80.88671875" bestFit="1" customWidth="1"/>
    <col min="185" max="185" width="27.88671875" bestFit="1" customWidth="1"/>
    <col min="186" max="186" width="31.77734375" bestFit="1" customWidth="1"/>
    <col min="187" max="187" width="80.88671875" bestFit="1" customWidth="1"/>
    <col min="188" max="188" width="38.21875" bestFit="1" customWidth="1"/>
    <col min="189" max="196" width="80.88671875" bestFit="1" customWidth="1"/>
    <col min="197" max="197" width="70.21875" bestFit="1" customWidth="1"/>
    <col min="198" max="198" width="80.88671875" bestFit="1" customWidth="1"/>
    <col min="199" max="199" width="46.77734375" bestFit="1" customWidth="1"/>
    <col min="200" max="201" width="80.88671875" bestFit="1" customWidth="1"/>
    <col min="202" max="202" width="77.21875" bestFit="1" customWidth="1"/>
    <col min="203" max="204" width="80.88671875" bestFit="1" customWidth="1"/>
    <col min="205" max="205" width="63.5546875" bestFit="1" customWidth="1"/>
    <col min="206" max="208" width="33.33203125" bestFit="1" customWidth="1"/>
    <col min="209" max="209" width="80.88671875" bestFit="1" customWidth="1"/>
    <col min="210" max="226" width="33.33203125" bestFit="1" customWidth="1"/>
    <col min="227" max="227" width="74.5546875" bestFit="1" customWidth="1"/>
    <col min="228" max="229" width="80.88671875" bestFit="1" customWidth="1"/>
    <col min="230" max="230" width="65.5546875" bestFit="1" customWidth="1"/>
    <col min="231" max="231" width="80.88671875" bestFit="1" customWidth="1"/>
    <col min="232" max="232" width="71.5546875" bestFit="1" customWidth="1"/>
    <col min="233" max="233" width="80.88671875" bestFit="1" customWidth="1"/>
    <col min="234" max="234" width="27.88671875" bestFit="1" customWidth="1"/>
    <col min="235" max="235" width="31.77734375" bestFit="1" customWidth="1"/>
    <col min="236" max="236" width="80.88671875" bestFit="1" customWidth="1"/>
    <col min="237" max="237" width="38.21875" bestFit="1" customWidth="1"/>
    <col min="238" max="245" width="80.88671875" bestFit="1" customWidth="1"/>
    <col min="246" max="246" width="70.21875" bestFit="1" customWidth="1"/>
    <col min="247" max="247" width="80.88671875" bestFit="1" customWidth="1"/>
    <col min="248" max="248" width="46.77734375" bestFit="1" customWidth="1"/>
    <col min="249" max="250" width="80.88671875" bestFit="1" customWidth="1"/>
    <col min="251" max="251" width="77.21875" bestFit="1" customWidth="1"/>
    <col min="252" max="253" width="80.88671875" bestFit="1" customWidth="1"/>
    <col min="254" max="254" width="63.5546875" bestFit="1" customWidth="1"/>
    <col min="255" max="257" width="33.33203125" bestFit="1" customWidth="1"/>
    <col min="258" max="258" width="80.88671875" bestFit="1" customWidth="1"/>
    <col min="259" max="275" width="33.33203125" bestFit="1" customWidth="1"/>
    <col min="276" max="276" width="74.5546875" bestFit="1" customWidth="1"/>
    <col min="277" max="278" width="80.88671875" bestFit="1" customWidth="1"/>
    <col min="279" max="279" width="65.5546875" bestFit="1" customWidth="1"/>
    <col min="280" max="280" width="80.88671875" bestFit="1" customWidth="1"/>
    <col min="281" max="281" width="71.5546875" bestFit="1" customWidth="1"/>
    <col min="282" max="282" width="80.88671875" bestFit="1" customWidth="1"/>
    <col min="283" max="283" width="27.88671875" bestFit="1" customWidth="1"/>
    <col min="284" max="284" width="31.77734375" bestFit="1" customWidth="1"/>
    <col min="285" max="285" width="80.88671875" bestFit="1" customWidth="1"/>
    <col min="286" max="286" width="38.21875" bestFit="1" customWidth="1"/>
    <col min="287" max="294" width="80.88671875" bestFit="1" customWidth="1"/>
    <col min="295" max="295" width="70.21875" bestFit="1" customWidth="1"/>
    <col min="296" max="296" width="80.88671875" bestFit="1" customWidth="1"/>
    <col min="297" max="297" width="46.77734375" bestFit="1" customWidth="1"/>
    <col min="298" max="299" width="80.88671875" bestFit="1" customWidth="1"/>
    <col min="300" max="300" width="77.21875" bestFit="1" customWidth="1"/>
    <col min="301" max="302" width="80.88671875" bestFit="1" customWidth="1"/>
    <col min="303" max="303" width="63.5546875" bestFit="1" customWidth="1"/>
    <col min="304" max="306" width="33.33203125" bestFit="1" customWidth="1"/>
    <col min="307" max="307" width="80.88671875" bestFit="1" customWidth="1"/>
    <col min="308" max="324" width="33.33203125" bestFit="1" customWidth="1"/>
    <col min="325" max="325" width="74.5546875" bestFit="1" customWidth="1"/>
    <col min="326" max="327" width="80.88671875" bestFit="1" customWidth="1"/>
    <col min="328" max="328" width="65.5546875" bestFit="1" customWidth="1"/>
    <col min="329" max="329" width="80.88671875" bestFit="1" customWidth="1"/>
    <col min="330" max="330" width="71.5546875" bestFit="1" customWidth="1"/>
    <col min="331" max="331" width="80.88671875" bestFit="1" customWidth="1"/>
    <col min="332" max="332" width="27.88671875" bestFit="1" customWidth="1"/>
    <col min="333" max="333" width="31.77734375" bestFit="1" customWidth="1"/>
    <col min="334" max="334" width="80.88671875" bestFit="1" customWidth="1"/>
    <col min="335" max="335" width="38.21875" bestFit="1" customWidth="1"/>
    <col min="336" max="343" width="80.88671875" bestFit="1" customWidth="1"/>
    <col min="344" max="344" width="70.21875" bestFit="1" customWidth="1"/>
    <col min="345" max="345" width="80.88671875" bestFit="1" customWidth="1"/>
    <col min="346" max="346" width="46.77734375" bestFit="1" customWidth="1"/>
    <col min="347" max="348" width="80.88671875" bestFit="1" customWidth="1"/>
    <col min="349" max="349" width="77.21875" bestFit="1" customWidth="1"/>
    <col min="350" max="351" width="80.88671875" bestFit="1" customWidth="1"/>
    <col min="352" max="352" width="63.5546875" bestFit="1" customWidth="1"/>
    <col min="353" max="355" width="33.33203125" bestFit="1" customWidth="1"/>
    <col min="356" max="356" width="80.88671875" bestFit="1" customWidth="1"/>
    <col min="357" max="373" width="33.33203125" bestFit="1" customWidth="1"/>
    <col min="374" max="374" width="74.5546875" bestFit="1" customWidth="1"/>
    <col min="375" max="376" width="80.88671875" bestFit="1" customWidth="1"/>
    <col min="377" max="377" width="65.5546875" bestFit="1" customWidth="1"/>
    <col min="378" max="378" width="80.88671875" bestFit="1" customWidth="1"/>
    <col min="379" max="379" width="71.5546875" bestFit="1" customWidth="1"/>
    <col min="380" max="380" width="80.88671875" bestFit="1" customWidth="1"/>
    <col min="381" max="381" width="27.88671875" bestFit="1" customWidth="1"/>
    <col min="382" max="382" width="31.77734375" bestFit="1" customWidth="1"/>
    <col min="383" max="383" width="80.88671875" bestFit="1" customWidth="1"/>
    <col min="384" max="384" width="38.21875" bestFit="1" customWidth="1"/>
    <col min="385" max="392" width="80.88671875" bestFit="1" customWidth="1"/>
    <col min="393" max="393" width="70.21875" bestFit="1" customWidth="1"/>
    <col min="394" max="394" width="80.88671875" bestFit="1" customWidth="1"/>
    <col min="395" max="395" width="46.77734375" bestFit="1" customWidth="1"/>
    <col min="396" max="397" width="80.88671875" bestFit="1" customWidth="1"/>
    <col min="398" max="398" width="77.21875" bestFit="1" customWidth="1"/>
    <col min="399" max="400" width="80.88671875" bestFit="1" customWidth="1"/>
    <col min="401" max="401" width="63.5546875" bestFit="1" customWidth="1"/>
    <col min="402" max="404" width="33.33203125" bestFit="1" customWidth="1"/>
    <col min="405" max="405" width="80.88671875" bestFit="1" customWidth="1"/>
    <col min="406" max="422" width="33.33203125" bestFit="1" customWidth="1"/>
    <col min="423" max="423" width="74.5546875" bestFit="1" customWidth="1"/>
    <col min="424" max="425" width="80.88671875" bestFit="1" customWidth="1"/>
    <col min="426" max="426" width="65.5546875" bestFit="1" customWidth="1"/>
    <col min="427" max="427" width="80.88671875" bestFit="1" customWidth="1"/>
    <col min="428" max="428" width="71.5546875" bestFit="1" customWidth="1"/>
    <col min="429" max="429" width="80.88671875" bestFit="1" customWidth="1"/>
    <col min="430" max="430" width="27.88671875" bestFit="1" customWidth="1"/>
    <col min="431" max="431" width="31.77734375" bestFit="1" customWidth="1"/>
    <col min="432" max="432" width="80.88671875" bestFit="1" customWidth="1"/>
    <col min="433" max="433" width="38.21875" bestFit="1" customWidth="1"/>
    <col min="434" max="441" width="80.88671875" bestFit="1" customWidth="1"/>
    <col min="442" max="442" width="70.21875" bestFit="1" customWidth="1"/>
    <col min="443" max="443" width="80.88671875" bestFit="1" customWidth="1"/>
    <col min="444" max="444" width="46.77734375" bestFit="1" customWidth="1"/>
    <col min="445" max="446" width="80.88671875" bestFit="1" customWidth="1"/>
    <col min="447" max="447" width="77.21875" bestFit="1" customWidth="1"/>
    <col min="448" max="449" width="80.88671875" bestFit="1" customWidth="1"/>
    <col min="450" max="450" width="63.5546875" bestFit="1" customWidth="1"/>
    <col min="451" max="453" width="33.33203125" bestFit="1" customWidth="1"/>
    <col min="454" max="454" width="80.88671875" bestFit="1" customWidth="1"/>
    <col min="455" max="471" width="33.33203125" bestFit="1" customWidth="1"/>
    <col min="472" max="472" width="74.5546875" bestFit="1" customWidth="1"/>
    <col min="473" max="474" width="80.88671875" bestFit="1" customWidth="1"/>
    <col min="475" max="475" width="65.5546875" bestFit="1" customWidth="1"/>
    <col min="476" max="476" width="80.88671875" bestFit="1" customWidth="1"/>
    <col min="477" max="477" width="71.5546875" bestFit="1" customWidth="1"/>
    <col min="478" max="478" width="80.88671875" bestFit="1" customWidth="1"/>
    <col min="479" max="479" width="27.88671875" bestFit="1" customWidth="1"/>
    <col min="480" max="480" width="31.77734375" bestFit="1" customWidth="1"/>
    <col min="481" max="481" width="80.88671875" bestFit="1" customWidth="1"/>
    <col min="482" max="482" width="38.21875" bestFit="1" customWidth="1"/>
    <col min="483" max="490" width="80.88671875" bestFit="1" customWidth="1"/>
    <col min="491" max="491" width="70.21875" bestFit="1" customWidth="1"/>
    <col min="492" max="492" width="80.88671875" bestFit="1" customWidth="1"/>
    <col min="493" max="493" width="46.77734375" bestFit="1" customWidth="1"/>
    <col min="494" max="495" width="80.88671875" bestFit="1" customWidth="1"/>
    <col min="496" max="496" width="77.21875" bestFit="1" customWidth="1"/>
    <col min="497" max="498" width="80.88671875" bestFit="1" customWidth="1"/>
    <col min="499" max="499" width="63.5546875" bestFit="1" customWidth="1"/>
    <col min="500" max="502" width="33.33203125" bestFit="1" customWidth="1"/>
    <col min="503" max="503" width="80.88671875" bestFit="1" customWidth="1"/>
    <col min="504" max="520" width="33.33203125" bestFit="1" customWidth="1"/>
    <col min="521" max="521" width="74.5546875" bestFit="1" customWidth="1"/>
    <col min="522" max="523" width="80.88671875" bestFit="1" customWidth="1"/>
    <col min="524" max="524" width="65.5546875" bestFit="1" customWidth="1"/>
    <col min="525" max="525" width="80.88671875" bestFit="1" customWidth="1"/>
    <col min="526" max="526" width="71.5546875" bestFit="1" customWidth="1"/>
    <col min="527" max="527" width="80.88671875" bestFit="1" customWidth="1"/>
    <col min="528" max="528" width="27.88671875" bestFit="1" customWidth="1"/>
    <col min="529" max="529" width="31.77734375" bestFit="1" customWidth="1"/>
    <col min="530" max="530" width="80.88671875" bestFit="1" customWidth="1"/>
    <col min="531" max="531" width="38.21875" bestFit="1" customWidth="1"/>
    <col min="532" max="539" width="80.88671875" bestFit="1" customWidth="1"/>
    <col min="540" max="540" width="70.21875" bestFit="1" customWidth="1"/>
    <col min="541" max="541" width="80.88671875" bestFit="1" customWidth="1"/>
    <col min="542" max="542" width="46.77734375" bestFit="1" customWidth="1"/>
    <col min="543" max="544" width="80.88671875" bestFit="1" customWidth="1"/>
    <col min="545" max="545" width="77.21875" bestFit="1" customWidth="1"/>
    <col min="546" max="547" width="80.88671875" bestFit="1" customWidth="1"/>
    <col min="548" max="548" width="63.5546875" bestFit="1" customWidth="1"/>
    <col min="549" max="551" width="33.33203125" bestFit="1" customWidth="1"/>
    <col min="552" max="552" width="80.88671875" bestFit="1" customWidth="1"/>
    <col min="553" max="569" width="33.33203125" bestFit="1" customWidth="1"/>
    <col min="570" max="570" width="74.5546875" bestFit="1" customWidth="1"/>
    <col min="571" max="572" width="80.88671875" bestFit="1" customWidth="1"/>
    <col min="573" max="573" width="65.5546875" bestFit="1" customWidth="1"/>
    <col min="574" max="574" width="80.88671875" bestFit="1" customWidth="1"/>
    <col min="575" max="575" width="71.5546875" bestFit="1" customWidth="1"/>
    <col min="576" max="576" width="80.88671875" bestFit="1" customWidth="1"/>
    <col min="577" max="577" width="27.88671875" bestFit="1" customWidth="1"/>
    <col min="578" max="578" width="31.77734375" bestFit="1" customWidth="1"/>
    <col min="579" max="579" width="80.88671875" bestFit="1" customWidth="1"/>
    <col min="580" max="580" width="38.21875" bestFit="1" customWidth="1"/>
    <col min="581" max="588" width="80.88671875" bestFit="1" customWidth="1"/>
    <col min="589" max="589" width="70.21875" bestFit="1" customWidth="1"/>
    <col min="590" max="590" width="80.88671875" bestFit="1" customWidth="1"/>
    <col min="591" max="591" width="46.77734375" bestFit="1" customWidth="1"/>
    <col min="592" max="594" width="80.88671875" bestFit="1" customWidth="1"/>
    <col min="595" max="595" width="77.21875" bestFit="1" customWidth="1"/>
    <col min="596" max="596" width="80.88671875" bestFit="1" customWidth="1"/>
    <col min="597" max="597" width="77.21875" bestFit="1" customWidth="1"/>
    <col min="598" max="602" width="80.88671875" bestFit="1" customWidth="1"/>
    <col min="603" max="603" width="63.5546875" bestFit="1" customWidth="1"/>
    <col min="604" max="604" width="65.5546875" bestFit="1" customWidth="1"/>
    <col min="605" max="607" width="33.33203125" bestFit="1" customWidth="1"/>
    <col min="608" max="608" width="80.88671875" bestFit="1" customWidth="1"/>
    <col min="609" max="625" width="33.33203125" bestFit="1" customWidth="1"/>
    <col min="626" max="626" width="74.5546875" bestFit="1" customWidth="1"/>
    <col min="627" max="627" width="80.88671875" bestFit="1" customWidth="1"/>
    <col min="628" max="628" width="71.5546875" bestFit="1" customWidth="1"/>
    <col min="629" max="630" width="80.88671875" bestFit="1" customWidth="1"/>
    <col min="631" max="631" width="27.88671875" bestFit="1" customWidth="1"/>
    <col min="632" max="632" width="31.77734375" bestFit="1" customWidth="1"/>
    <col min="633" max="633" width="80.88671875" bestFit="1" customWidth="1"/>
    <col min="634" max="634" width="38.21875" bestFit="1" customWidth="1"/>
    <col min="635" max="642" width="80.88671875" bestFit="1" customWidth="1"/>
    <col min="643" max="643" width="70.21875" bestFit="1" customWidth="1"/>
    <col min="644" max="644" width="80.88671875" bestFit="1" customWidth="1"/>
    <col min="645" max="645" width="46.77734375" bestFit="1" customWidth="1"/>
    <col min="646" max="650" width="80.88671875" bestFit="1" customWidth="1"/>
    <col min="651" max="651" width="27.88671875" bestFit="1" customWidth="1"/>
    <col min="652" max="652" width="31.77734375" bestFit="1" customWidth="1"/>
    <col min="653" max="653" width="80.88671875" bestFit="1" customWidth="1"/>
    <col min="654" max="654" width="38.21875" bestFit="1" customWidth="1"/>
    <col min="655" max="662" width="80.88671875" bestFit="1" customWidth="1"/>
    <col min="663" max="663" width="70.21875" bestFit="1" customWidth="1"/>
    <col min="664" max="664" width="80.88671875" bestFit="1" customWidth="1"/>
    <col min="665" max="665" width="46.77734375" bestFit="1" customWidth="1"/>
    <col min="666" max="670" width="80.88671875" bestFit="1" customWidth="1"/>
    <col min="671" max="671" width="27.88671875" bestFit="1" customWidth="1"/>
    <col min="672" max="672" width="31.77734375" bestFit="1" customWidth="1"/>
    <col min="673" max="673" width="80.88671875" bestFit="1" customWidth="1"/>
    <col min="674" max="674" width="38.21875" bestFit="1" customWidth="1"/>
    <col min="675" max="682" width="80.88671875" bestFit="1" customWidth="1"/>
    <col min="683" max="683" width="70.21875" bestFit="1" customWidth="1"/>
    <col min="684" max="684" width="80.88671875" bestFit="1" customWidth="1"/>
    <col min="685" max="685" width="46.77734375" bestFit="1" customWidth="1"/>
    <col min="686" max="690" width="80.88671875" bestFit="1" customWidth="1"/>
    <col min="691" max="691" width="27.88671875" bestFit="1" customWidth="1"/>
    <col min="692" max="692" width="31.77734375" bestFit="1" customWidth="1"/>
    <col min="693" max="693" width="80.88671875" bestFit="1" customWidth="1"/>
    <col min="694" max="694" width="38.21875" bestFit="1" customWidth="1"/>
    <col min="695" max="702" width="80.88671875" bestFit="1" customWidth="1"/>
    <col min="703" max="703" width="70.21875" bestFit="1" customWidth="1"/>
    <col min="704" max="704" width="80.88671875" bestFit="1" customWidth="1"/>
    <col min="705" max="705" width="46.77734375" bestFit="1" customWidth="1"/>
    <col min="706" max="710" width="80.88671875" bestFit="1" customWidth="1"/>
    <col min="711" max="711" width="27.88671875" bestFit="1" customWidth="1"/>
    <col min="712" max="712" width="31.77734375" bestFit="1" customWidth="1"/>
    <col min="713" max="713" width="80.88671875" bestFit="1" customWidth="1"/>
    <col min="714" max="714" width="38.21875" bestFit="1" customWidth="1"/>
    <col min="715" max="722" width="80.88671875" bestFit="1" customWidth="1"/>
    <col min="723" max="723" width="70.21875" bestFit="1" customWidth="1"/>
    <col min="724" max="724" width="80.88671875" bestFit="1" customWidth="1"/>
    <col min="725" max="725" width="46.77734375" bestFit="1" customWidth="1"/>
    <col min="726" max="727" width="80.88671875" bestFit="1" customWidth="1"/>
    <col min="728" max="728" width="58.109375" bestFit="1" customWidth="1"/>
    <col min="729" max="730" width="8" bestFit="1" customWidth="1"/>
    <col min="731" max="731" width="15.77734375" bestFit="1" customWidth="1"/>
    <col min="732" max="732" width="26.44140625" bestFit="1" customWidth="1"/>
    <col min="733" max="733" width="2.44140625" bestFit="1" customWidth="1"/>
  </cols>
  <sheetData>
    <row r="1" spans="1:6" ht="14.4" customHeight="1" x14ac:dyDescent="0.3">
      <c r="C1" s="117" t="s">
        <v>2573</v>
      </c>
      <c r="E1">
        <v>686</v>
      </c>
    </row>
    <row r="2" spans="1:6" x14ac:dyDescent="0.3">
      <c r="C2" s="117" t="s">
        <v>2574</v>
      </c>
    </row>
    <row r="3" spans="1:6" x14ac:dyDescent="0.3">
      <c r="C3" s="117" t="s">
        <v>266</v>
      </c>
    </row>
    <row r="4" spans="1:6" x14ac:dyDescent="0.3">
      <c r="C4" s="117" t="s">
        <v>266</v>
      </c>
    </row>
    <row r="5" spans="1:6" x14ac:dyDescent="0.3">
      <c r="A5">
        <v>5</v>
      </c>
      <c r="B5" t="s">
        <v>3066</v>
      </c>
      <c r="C5" s="117" t="s">
        <v>2295</v>
      </c>
      <c r="F5" t="str">
        <f>TRIM(C6)</f>
        <v>'This creates a string of the components commands then parses it in to a variant array</v>
      </c>
    </row>
    <row r="6" spans="1:6" ht="28.8" x14ac:dyDescent="0.3">
      <c r="C6" s="120" t="s">
        <v>2506</v>
      </c>
      <c r="F6">
        <f>LEN(C6)</f>
        <v>94</v>
      </c>
    </row>
    <row r="7" spans="1:6" x14ac:dyDescent="0.3">
      <c r="C7" s="117" t="s">
        <v>2507</v>
      </c>
      <c r="F7" t="str">
        <f>ASC(LEFT(C6,1))</f>
        <v xml:space="preserve"> </v>
      </c>
    </row>
    <row r="8" spans="1:6" x14ac:dyDescent="0.3">
      <c r="C8" s="117" t="s">
        <v>2508</v>
      </c>
      <c r="F8">
        <f>LEN(F7)</f>
        <v>1</v>
      </c>
    </row>
    <row r="9" spans="1:6" x14ac:dyDescent="0.3">
      <c r="C9" s="117" t="s">
        <v>2509</v>
      </c>
      <c r="F9" t="str">
        <f>IF( F7=" ","yes","no")</f>
        <v>yes</v>
      </c>
    </row>
    <row r="10" spans="1:6" x14ac:dyDescent="0.3">
      <c r="C10" s="117" t="s">
        <v>2510</v>
      </c>
    </row>
    <row r="11" spans="1:6" x14ac:dyDescent="0.3">
      <c r="C11" s="117" t="s">
        <v>2296</v>
      </c>
    </row>
    <row r="12" spans="1:6" x14ac:dyDescent="0.3">
      <c r="C12" s="117" t="s">
        <v>266</v>
      </c>
    </row>
    <row r="13" spans="1:6" x14ac:dyDescent="0.3">
      <c r="C13" s="119" t="s">
        <v>3069</v>
      </c>
      <c r="F13" t="str">
        <f>TRIM(C13)</f>
        <v>Dim BasYes As Boolean I 1</v>
      </c>
    </row>
    <row r="14" spans="1:6" x14ac:dyDescent="0.3">
      <c r="C14" s="117" t="s">
        <v>2297</v>
      </c>
      <c r="F14">
        <f>LEN(C13)</f>
        <v>34</v>
      </c>
    </row>
    <row r="15" spans="1:6" x14ac:dyDescent="0.3">
      <c r="C15" s="117" t="s">
        <v>2298</v>
      </c>
      <c r="F15">
        <f>LEN(F13)</f>
        <v>25</v>
      </c>
    </row>
    <row r="16" spans="1:6" x14ac:dyDescent="0.3">
      <c r="C16" s="117" t="s">
        <v>2299</v>
      </c>
      <c r="F16" t="str">
        <f>RIGHT(C13,21)</f>
        <v>asYes As Boolean  I 1</v>
      </c>
    </row>
    <row r="17" spans="3:6" x14ac:dyDescent="0.3">
      <c r="C17" s="117" t="s">
        <v>315</v>
      </c>
      <c r="F17" t="str">
        <f>RIGHT(C14,21)</f>
        <v xml:space="preserve">  Dim CPath As String</v>
      </c>
    </row>
    <row r="18" spans="3:6" x14ac:dyDescent="0.3">
      <c r="C18" s="117" t="s">
        <v>2300</v>
      </c>
    </row>
    <row r="19" spans="3:6" x14ac:dyDescent="0.3">
      <c r="C19" s="117" t="s">
        <v>2301</v>
      </c>
    </row>
    <row r="20" spans="3:6" x14ac:dyDescent="0.3">
      <c r="C20" s="117" t="s">
        <v>2302</v>
      </c>
    </row>
    <row r="21" spans="3:6" x14ac:dyDescent="0.3">
      <c r="C21" s="117" t="s">
        <v>2303</v>
      </c>
    </row>
    <row r="22" spans="3:6" x14ac:dyDescent="0.3">
      <c r="C22" s="117" t="s">
        <v>2304</v>
      </c>
    </row>
    <row r="23" spans="3:6" x14ac:dyDescent="0.3">
      <c r="C23" s="117" t="s">
        <v>2305</v>
      </c>
    </row>
    <row r="24" spans="3:6" x14ac:dyDescent="0.3">
      <c r="C24" s="117" t="s">
        <v>2306</v>
      </c>
    </row>
    <row r="25" spans="3:6" x14ac:dyDescent="0.3">
      <c r="C25" s="117" t="s">
        <v>2307</v>
      </c>
    </row>
    <row r="26" spans="3:6" x14ac:dyDescent="0.3">
      <c r="C26" s="117" t="s">
        <v>2308</v>
      </c>
    </row>
    <row r="27" spans="3:6" x14ac:dyDescent="0.3">
      <c r="C27" s="117" t="s">
        <v>2309</v>
      </c>
    </row>
    <row r="28" spans="3:6" x14ac:dyDescent="0.3">
      <c r="C28" s="117" t="s">
        <v>2310</v>
      </c>
    </row>
    <row r="29" spans="3:6" x14ac:dyDescent="0.3">
      <c r="C29" s="117" t="s">
        <v>2311</v>
      </c>
    </row>
    <row r="30" spans="3:6" x14ac:dyDescent="0.3">
      <c r="C30" s="117" t="s">
        <v>2312</v>
      </c>
    </row>
    <row r="31" spans="3:6" x14ac:dyDescent="0.3">
      <c r="C31" s="117" t="s">
        <v>2511</v>
      </c>
    </row>
    <row r="32" spans="3:6" x14ac:dyDescent="0.3">
      <c r="C32" s="117" t="s">
        <v>2313</v>
      </c>
    </row>
    <row r="33" spans="3:3" x14ac:dyDescent="0.3">
      <c r="C33" s="117" t="s">
        <v>266</v>
      </c>
    </row>
    <row r="34" spans="3:3" x14ac:dyDescent="0.3">
      <c r="C34" s="117" t="s">
        <v>2314</v>
      </c>
    </row>
    <row r="35" spans="3:3" x14ac:dyDescent="0.3">
      <c r="C35" s="117" t="s">
        <v>2315</v>
      </c>
    </row>
    <row r="36" spans="3:3" x14ac:dyDescent="0.3">
      <c r="C36" s="117" t="s">
        <v>2316</v>
      </c>
    </row>
    <row r="37" spans="3:3" x14ac:dyDescent="0.3">
      <c r="C37" s="117" t="s">
        <v>2317</v>
      </c>
    </row>
    <row r="38" spans="3:3" x14ac:dyDescent="0.3">
      <c r="C38" s="117" t="s">
        <v>2318</v>
      </c>
    </row>
    <row r="39" spans="3:3" x14ac:dyDescent="0.3">
      <c r="C39" s="117" t="s">
        <v>2319</v>
      </c>
    </row>
    <row r="40" spans="3:3" x14ac:dyDescent="0.3">
      <c r="C40" s="117" t="s">
        <v>2320</v>
      </c>
    </row>
    <row r="41" spans="3:3" x14ac:dyDescent="0.3">
      <c r="C41" s="117" t="s">
        <v>2321</v>
      </c>
    </row>
    <row r="42" spans="3:3" x14ac:dyDescent="0.3">
      <c r="C42" s="117" t="s">
        <v>2322</v>
      </c>
    </row>
    <row r="43" spans="3:3" x14ac:dyDescent="0.3">
      <c r="C43" s="117" t="s">
        <v>319</v>
      </c>
    </row>
    <row r="44" spans="3:3" x14ac:dyDescent="0.3">
      <c r="C44" s="117" t="s">
        <v>266</v>
      </c>
    </row>
    <row r="45" spans="3:3" x14ac:dyDescent="0.3">
      <c r="C45" s="117" t="s">
        <v>2441</v>
      </c>
    </row>
    <row r="46" spans="3:3" x14ac:dyDescent="0.3">
      <c r="C46" s="117" t="s">
        <v>266</v>
      </c>
    </row>
    <row r="47" spans="3:3" x14ac:dyDescent="0.3">
      <c r="C47" s="117" t="s">
        <v>266</v>
      </c>
    </row>
    <row r="48" spans="3:3" x14ac:dyDescent="0.3">
      <c r="C48" s="117" t="s">
        <v>266</v>
      </c>
    </row>
    <row r="49" spans="3:3" x14ac:dyDescent="0.3">
      <c r="C49" s="117" t="s">
        <v>266</v>
      </c>
    </row>
    <row r="50" spans="3:3" x14ac:dyDescent="0.3">
      <c r="C50" s="117" t="s">
        <v>2323</v>
      </c>
    </row>
    <row r="51" spans="3:3" x14ac:dyDescent="0.3">
      <c r="C51" s="117" t="s">
        <v>266</v>
      </c>
    </row>
    <row r="52" spans="3:3" x14ac:dyDescent="0.3">
      <c r="C52" s="117" t="s">
        <v>2324</v>
      </c>
    </row>
    <row r="53" spans="3:3" x14ac:dyDescent="0.3">
      <c r="C53" s="117" t="s">
        <v>2325</v>
      </c>
    </row>
    <row r="54" spans="3:3" x14ac:dyDescent="0.3">
      <c r="C54" s="117" t="s">
        <v>266</v>
      </c>
    </row>
    <row r="55" spans="3:3" x14ac:dyDescent="0.3">
      <c r="C55" s="117" t="s">
        <v>2326</v>
      </c>
    </row>
    <row r="56" spans="3:3" x14ac:dyDescent="0.3">
      <c r="C56" s="117" t="s">
        <v>2327</v>
      </c>
    </row>
    <row r="57" spans="3:3" x14ac:dyDescent="0.3">
      <c r="C57" s="117" t="s">
        <v>2328</v>
      </c>
    </row>
    <row r="58" spans="3:3" ht="28.8" x14ac:dyDescent="0.3">
      <c r="C58" s="117" t="s">
        <v>2512</v>
      </c>
    </row>
    <row r="59" spans="3:3" x14ac:dyDescent="0.3">
      <c r="C59" s="117" t="s">
        <v>2513</v>
      </c>
    </row>
    <row r="60" spans="3:3" x14ac:dyDescent="0.3">
      <c r="C60" s="117" t="s">
        <v>2514</v>
      </c>
    </row>
    <row r="61" spans="3:3" x14ac:dyDescent="0.3">
      <c r="C61" s="117" t="s">
        <v>2387</v>
      </c>
    </row>
    <row r="62" spans="3:3" x14ac:dyDescent="0.3">
      <c r="C62" s="117" t="s">
        <v>2515</v>
      </c>
    </row>
    <row r="63" spans="3:3" x14ac:dyDescent="0.3">
      <c r="C63" s="117" t="s">
        <v>318</v>
      </c>
    </row>
    <row r="64" spans="3:3" x14ac:dyDescent="0.3">
      <c r="C64" s="117" t="s">
        <v>266</v>
      </c>
    </row>
    <row r="65" spans="3:3" x14ac:dyDescent="0.3">
      <c r="C65" s="117" t="s">
        <v>2329</v>
      </c>
    </row>
    <row r="66" spans="3:3" x14ac:dyDescent="0.3">
      <c r="C66" s="117" t="s">
        <v>266</v>
      </c>
    </row>
    <row r="67" spans="3:3" x14ac:dyDescent="0.3">
      <c r="C67" s="117" t="s">
        <v>2330</v>
      </c>
    </row>
    <row r="68" spans="3:3" x14ac:dyDescent="0.3">
      <c r="C68" s="117" t="s">
        <v>266</v>
      </c>
    </row>
    <row r="69" spans="3:3" x14ac:dyDescent="0.3">
      <c r="C69" s="117" t="s">
        <v>2516</v>
      </c>
    </row>
    <row r="70" spans="3:3" x14ac:dyDescent="0.3">
      <c r="C70" s="117" t="s">
        <v>2331</v>
      </c>
    </row>
    <row r="71" spans="3:3" x14ac:dyDescent="0.3">
      <c r="C71" s="117" t="s">
        <v>2517</v>
      </c>
    </row>
    <row r="72" spans="3:3" x14ac:dyDescent="0.3">
      <c r="C72" s="117" t="s">
        <v>2332</v>
      </c>
    </row>
    <row r="73" spans="3:3" ht="28.8" x14ac:dyDescent="0.3">
      <c r="C73" s="117" t="s">
        <v>2518</v>
      </c>
    </row>
    <row r="74" spans="3:3" x14ac:dyDescent="0.3">
      <c r="C74" s="117" t="s">
        <v>2333</v>
      </c>
    </row>
    <row r="75" spans="3:3" x14ac:dyDescent="0.3">
      <c r="C75" s="117" t="s">
        <v>2334</v>
      </c>
    </row>
    <row r="76" spans="3:3" ht="28.8" x14ac:dyDescent="0.3">
      <c r="C76" s="117" t="s">
        <v>2335</v>
      </c>
    </row>
    <row r="77" spans="3:3" x14ac:dyDescent="0.3">
      <c r="C77" s="117" t="s">
        <v>2336</v>
      </c>
    </row>
    <row r="78" spans="3:3" x14ac:dyDescent="0.3">
      <c r="C78" s="117" t="s">
        <v>2337</v>
      </c>
    </row>
    <row r="79" spans="3:3" x14ac:dyDescent="0.3">
      <c r="C79" s="117" t="s">
        <v>2338</v>
      </c>
    </row>
    <row r="80" spans="3:3" x14ac:dyDescent="0.3">
      <c r="C80" s="117" t="s">
        <v>266</v>
      </c>
    </row>
    <row r="81" spans="3:3" x14ac:dyDescent="0.3">
      <c r="C81" s="117" t="s">
        <v>2339</v>
      </c>
    </row>
    <row r="82" spans="3:3" x14ac:dyDescent="0.3">
      <c r="C82" s="117" t="s">
        <v>2519</v>
      </c>
    </row>
    <row r="83" spans="3:3" x14ac:dyDescent="0.3">
      <c r="C83" s="117" t="s">
        <v>2340</v>
      </c>
    </row>
    <row r="84" spans="3:3" x14ac:dyDescent="0.3">
      <c r="C84" s="117" t="s">
        <v>2341</v>
      </c>
    </row>
    <row r="85" spans="3:3" x14ac:dyDescent="0.3">
      <c r="C85" s="117" t="s">
        <v>2329</v>
      </c>
    </row>
    <row r="86" spans="3:3" x14ac:dyDescent="0.3">
      <c r="C86" s="117" t="s">
        <v>2342</v>
      </c>
    </row>
    <row r="87" spans="3:3" x14ac:dyDescent="0.3">
      <c r="C87" s="117" t="s">
        <v>2321</v>
      </c>
    </row>
    <row r="88" spans="3:3" x14ac:dyDescent="0.3">
      <c r="C88" s="117" t="s">
        <v>319</v>
      </c>
    </row>
    <row r="89" spans="3:3" x14ac:dyDescent="0.3">
      <c r="C89" s="117" t="s">
        <v>2343</v>
      </c>
    </row>
    <row r="90" spans="3:3" x14ac:dyDescent="0.3">
      <c r="C90" s="117" t="s">
        <v>266</v>
      </c>
    </row>
    <row r="91" spans="3:3" x14ac:dyDescent="0.3">
      <c r="C91" s="117" t="s">
        <v>2344</v>
      </c>
    </row>
    <row r="92" spans="3:3" x14ac:dyDescent="0.3">
      <c r="C92" s="117" t="s">
        <v>266</v>
      </c>
    </row>
    <row r="93" spans="3:3" x14ac:dyDescent="0.3">
      <c r="C93" s="117" t="s">
        <v>2345</v>
      </c>
    </row>
    <row r="94" spans="3:3" x14ac:dyDescent="0.3">
      <c r="C94" s="117" t="s">
        <v>2520</v>
      </c>
    </row>
    <row r="95" spans="3:3" x14ac:dyDescent="0.3">
      <c r="C95" s="117" t="s">
        <v>2346</v>
      </c>
    </row>
    <row r="96" spans="3:3" x14ac:dyDescent="0.3">
      <c r="C96" s="117" t="s">
        <v>2347</v>
      </c>
    </row>
    <row r="97" spans="3:3" x14ac:dyDescent="0.3">
      <c r="C97" s="117" t="s">
        <v>2348</v>
      </c>
    </row>
    <row r="98" spans="3:3" x14ac:dyDescent="0.3">
      <c r="C98" s="117" t="s">
        <v>2349</v>
      </c>
    </row>
    <row r="99" spans="3:3" x14ac:dyDescent="0.3">
      <c r="C99" s="117" t="s">
        <v>267</v>
      </c>
    </row>
    <row r="100" spans="3:3" x14ac:dyDescent="0.3">
      <c r="C100" s="117" t="s">
        <v>275</v>
      </c>
    </row>
    <row r="101" spans="3:3" x14ac:dyDescent="0.3">
      <c r="C101" s="117" t="s">
        <v>263</v>
      </c>
    </row>
    <row r="103" spans="3:3" x14ac:dyDescent="0.3">
      <c r="C103" s="117" t="s">
        <v>2350</v>
      </c>
    </row>
    <row r="104" spans="3:3" x14ac:dyDescent="0.3">
      <c r="C104" s="117" t="s">
        <v>2351</v>
      </c>
    </row>
    <row r="105" spans="3:3" x14ac:dyDescent="0.3">
      <c r="C105" s="117" t="s">
        <v>266</v>
      </c>
    </row>
    <row r="106" spans="3:3" x14ac:dyDescent="0.3">
      <c r="C106" s="117" t="s">
        <v>2352</v>
      </c>
    </row>
    <row r="107" spans="3:3" x14ac:dyDescent="0.3">
      <c r="C107" s="117" t="s">
        <v>2353</v>
      </c>
    </row>
    <row r="108" spans="3:3" x14ac:dyDescent="0.3">
      <c r="C108" s="117" t="s">
        <v>267</v>
      </c>
    </row>
    <row r="109" spans="3:3" x14ac:dyDescent="0.3">
      <c r="C109" s="117" t="s">
        <v>2521</v>
      </c>
    </row>
    <row r="110" spans="3:3" x14ac:dyDescent="0.3">
      <c r="C110" s="117" t="s">
        <v>2354</v>
      </c>
    </row>
    <row r="111" spans="3:3" x14ac:dyDescent="0.3">
      <c r="C111" s="117" t="s">
        <v>2355</v>
      </c>
    </row>
    <row r="112" spans="3:3" x14ac:dyDescent="0.3">
      <c r="C112" s="117" t="s">
        <v>2522</v>
      </c>
    </row>
    <row r="113" spans="3:3" x14ac:dyDescent="0.3">
      <c r="C113" s="117" t="s">
        <v>2356</v>
      </c>
    </row>
    <row r="114" spans="3:3" x14ac:dyDescent="0.3">
      <c r="C114" s="117" t="s">
        <v>2357</v>
      </c>
    </row>
    <row r="115" spans="3:3" x14ac:dyDescent="0.3">
      <c r="C115" s="117" t="s">
        <v>268</v>
      </c>
    </row>
    <row r="116" spans="3:3" x14ac:dyDescent="0.3">
      <c r="C116" s="117" t="s">
        <v>267</v>
      </c>
    </row>
    <row r="117" spans="3:3" x14ac:dyDescent="0.3">
      <c r="C117" s="117" t="s">
        <v>2358</v>
      </c>
    </row>
    <row r="118" spans="3:3" x14ac:dyDescent="0.3">
      <c r="C118" s="117" t="s">
        <v>2359</v>
      </c>
    </row>
    <row r="119" spans="3:3" x14ac:dyDescent="0.3">
      <c r="C119" s="117" t="s">
        <v>267</v>
      </c>
    </row>
    <row r="120" spans="3:3" x14ac:dyDescent="0.3">
      <c r="C120" s="117" t="s">
        <v>267</v>
      </c>
    </row>
    <row r="122" spans="3:3" x14ac:dyDescent="0.3">
      <c r="C122" s="117" t="s">
        <v>264</v>
      </c>
    </row>
    <row r="123" spans="3:3" x14ac:dyDescent="0.3">
      <c r="C123" s="117" t="s">
        <v>2360</v>
      </c>
    </row>
    <row r="124" spans="3:3" x14ac:dyDescent="0.3">
      <c r="C124" s="117" t="s">
        <v>2361</v>
      </c>
    </row>
    <row r="125" spans="3:3" x14ac:dyDescent="0.3">
      <c r="C125" s="117" t="s">
        <v>263</v>
      </c>
    </row>
    <row r="126" spans="3:3" x14ac:dyDescent="0.3">
      <c r="C126" s="117" t="s">
        <v>263</v>
      </c>
    </row>
    <row r="127" spans="3:3" x14ac:dyDescent="0.3">
      <c r="C127" s="117" t="s">
        <v>2575</v>
      </c>
    </row>
    <row r="128" spans="3:3" x14ac:dyDescent="0.3">
      <c r="C128" s="117" t="s">
        <v>2576</v>
      </c>
    </row>
    <row r="129" spans="3:3" x14ac:dyDescent="0.3">
      <c r="C129" s="117" t="s">
        <v>2523</v>
      </c>
    </row>
    <row r="130" spans="3:3" x14ac:dyDescent="0.3">
      <c r="C130" s="117" t="s">
        <v>2362</v>
      </c>
    </row>
    <row r="131" spans="3:3" x14ac:dyDescent="0.3">
      <c r="C131" s="117" t="s">
        <v>2543</v>
      </c>
    </row>
    <row r="132" spans="3:3" x14ac:dyDescent="0.3">
      <c r="C132" s="117" t="s">
        <v>316</v>
      </c>
    </row>
    <row r="133" spans="3:3" x14ac:dyDescent="0.3">
      <c r="C133" s="117" t="s">
        <v>266</v>
      </c>
    </row>
    <row r="134" spans="3:3" x14ac:dyDescent="0.3">
      <c r="C134" s="117" t="s">
        <v>266</v>
      </c>
    </row>
    <row r="135" spans="3:3" x14ac:dyDescent="0.3">
      <c r="C135" s="117" t="s">
        <v>266</v>
      </c>
    </row>
    <row r="136" spans="3:3" x14ac:dyDescent="0.3">
      <c r="C136" s="117" t="s">
        <v>266</v>
      </c>
    </row>
    <row r="137" spans="3:3" x14ac:dyDescent="0.3">
      <c r="C137" s="117" t="s">
        <v>266</v>
      </c>
    </row>
    <row r="138" spans="3:3" x14ac:dyDescent="0.3">
      <c r="C138" s="117" t="s">
        <v>2577</v>
      </c>
    </row>
    <row r="139" spans="3:3" x14ac:dyDescent="0.3">
      <c r="C139" s="117" t="s">
        <v>266</v>
      </c>
    </row>
    <row r="140" spans="3:3" x14ac:dyDescent="0.3">
      <c r="C140" s="117" t="s">
        <v>2578</v>
      </c>
    </row>
    <row r="141" spans="3:3" x14ac:dyDescent="0.3">
      <c r="C141" s="117" t="s">
        <v>2579</v>
      </c>
    </row>
    <row r="142" spans="3:3" x14ac:dyDescent="0.3">
      <c r="C142" s="117" t="s">
        <v>2580</v>
      </c>
    </row>
    <row r="143" spans="3:3" x14ac:dyDescent="0.3">
      <c r="C143" s="117" t="s">
        <v>2581</v>
      </c>
    </row>
    <row r="144" spans="3:3" x14ac:dyDescent="0.3">
      <c r="C144" s="117" t="s">
        <v>2582</v>
      </c>
    </row>
    <row r="145" spans="3:3" x14ac:dyDescent="0.3">
      <c r="C145" s="117" t="s">
        <v>266</v>
      </c>
    </row>
    <row r="146" spans="3:3" x14ac:dyDescent="0.3">
      <c r="C146" s="117" t="s">
        <v>266</v>
      </c>
    </row>
    <row r="147" spans="3:3" x14ac:dyDescent="0.3">
      <c r="C147" s="117" t="s">
        <v>2583</v>
      </c>
    </row>
    <row r="148" spans="3:3" x14ac:dyDescent="0.3">
      <c r="C148" s="117" t="s">
        <v>2584</v>
      </c>
    </row>
    <row r="149" spans="3:3" x14ac:dyDescent="0.3">
      <c r="C149" s="117" t="s">
        <v>2585</v>
      </c>
    </row>
    <row r="150" spans="3:3" x14ac:dyDescent="0.3">
      <c r="C150" s="117" t="s">
        <v>2383</v>
      </c>
    </row>
    <row r="151" spans="3:3" x14ac:dyDescent="0.3">
      <c r="C151" s="117" t="s">
        <v>2586</v>
      </c>
    </row>
    <row r="152" spans="3:3" x14ac:dyDescent="0.3">
      <c r="C152" s="117" t="s">
        <v>2587</v>
      </c>
    </row>
    <row r="153" spans="3:3" x14ac:dyDescent="0.3">
      <c r="C153" s="117" t="s">
        <v>2588</v>
      </c>
    </row>
    <row r="154" spans="3:3" x14ac:dyDescent="0.3">
      <c r="C154" s="117" t="s">
        <v>2589</v>
      </c>
    </row>
    <row r="155" spans="3:3" x14ac:dyDescent="0.3">
      <c r="C155" s="117" t="s">
        <v>267</v>
      </c>
    </row>
    <row r="156" spans="3:3" x14ac:dyDescent="0.3">
      <c r="C156" s="117" t="s">
        <v>268</v>
      </c>
    </row>
    <row r="157" spans="3:3" x14ac:dyDescent="0.3">
      <c r="C157" s="117" t="s">
        <v>2590</v>
      </c>
    </row>
    <row r="158" spans="3:3" x14ac:dyDescent="0.3">
      <c r="C158" s="117" t="s">
        <v>2591</v>
      </c>
    </row>
    <row r="159" spans="3:3" x14ac:dyDescent="0.3">
      <c r="C159" s="117" t="s">
        <v>2592</v>
      </c>
    </row>
    <row r="160" spans="3:3" x14ac:dyDescent="0.3">
      <c r="C160" s="117" t="s">
        <v>263</v>
      </c>
    </row>
    <row r="161" spans="3:3" ht="28.8" x14ac:dyDescent="0.3">
      <c r="C161" s="117" t="s">
        <v>2593</v>
      </c>
    </row>
    <row r="162" spans="3:3" x14ac:dyDescent="0.3">
      <c r="C162" s="117" t="s">
        <v>275</v>
      </c>
    </row>
    <row r="163" spans="3:3" x14ac:dyDescent="0.3">
      <c r="C163" s="117" t="s">
        <v>275</v>
      </c>
    </row>
    <row r="164" spans="3:3" x14ac:dyDescent="0.3">
      <c r="C164" s="117" t="s">
        <v>2594</v>
      </c>
    </row>
    <row r="165" spans="3:3" x14ac:dyDescent="0.3">
      <c r="C165" s="117" t="s">
        <v>2595</v>
      </c>
    </row>
    <row r="166" spans="3:3" x14ac:dyDescent="0.3">
      <c r="C166" s="117" t="s">
        <v>2596</v>
      </c>
    </row>
    <row r="167" spans="3:3" x14ac:dyDescent="0.3">
      <c r="C167" s="117" t="s">
        <v>275</v>
      </c>
    </row>
    <row r="168" spans="3:3" x14ac:dyDescent="0.3">
      <c r="C168" s="117" t="s">
        <v>316</v>
      </c>
    </row>
    <row r="169" spans="3:3" x14ac:dyDescent="0.3">
      <c r="C169" s="117" t="s">
        <v>266</v>
      </c>
    </row>
    <row r="170" spans="3:3" x14ac:dyDescent="0.3">
      <c r="C170" s="117" t="s">
        <v>275</v>
      </c>
    </row>
    <row r="171" spans="3:3" x14ac:dyDescent="0.3">
      <c r="C171" s="117" t="s">
        <v>2597</v>
      </c>
    </row>
    <row r="172" spans="3:3" ht="28.8" x14ac:dyDescent="0.3">
      <c r="C172" s="117" t="s">
        <v>2598</v>
      </c>
    </row>
    <row r="173" spans="3:3" x14ac:dyDescent="0.3">
      <c r="C173" s="117" t="s">
        <v>2599</v>
      </c>
    </row>
    <row r="174" spans="3:3" x14ac:dyDescent="0.3">
      <c r="C174" s="117" t="s">
        <v>266</v>
      </c>
    </row>
    <row r="175" spans="3:3" x14ac:dyDescent="0.3">
      <c r="C175" s="117" t="s">
        <v>2599</v>
      </c>
    </row>
    <row r="176" spans="3:3" ht="28.8" x14ac:dyDescent="0.3">
      <c r="C176" s="117" t="s">
        <v>2600</v>
      </c>
    </row>
    <row r="177" spans="3:3" x14ac:dyDescent="0.3">
      <c r="C177" s="117" t="s">
        <v>2601</v>
      </c>
    </row>
    <row r="179" spans="3:3" x14ac:dyDescent="0.3">
      <c r="C179" s="117" t="s">
        <v>2602</v>
      </c>
    </row>
    <row r="180" spans="3:3" x14ac:dyDescent="0.3">
      <c r="C180" s="117" t="s">
        <v>266</v>
      </c>
    </row>
    <row r="181" spans="3:3" x14ac:dyDescent="0.3">
      <c r="C181" s="117" t="s">
        <v>2603</v>
      </c>
    </row>
    <row r="182" spans="3:3" x14ac:dyDescent="0.3">
      <c r="C182" s="117" t="s">
        <v>2604</v>
      </c>
    </row>
    <row r="183" spans="3:3" x14ac:dyDescent="0.3">
      <c r="C183" s="117" t="s">
        <v>2605</v>
      </c>
    </row>
    <row r="184" spans="3:3" x14ac:dyDescent="0.3">
      <c r="C184" s="117" t="s">
        <v>2606</v>
      </c>
    </row>
    <row r="185" spans="3:3" x14ac:dyDescent="0.3">
      <c r="C185" s="117" t="s">
        <v>2607</v>
      </c>
    </row>
    <row r="186" spans="3:3" x14ac:dyDescent="0.3">
      <c r="C186" s="117" t="s">
        <v>2608</v>
      </c>
    </row>
    <row r="187" spans="3:3" x14ac:dyDescent="0.3">
      <c r="C187" s="117" t="s">
        <v>2609</v>
      </c>
    </row>
    <row r="188" spans="3:3" x14ac:dyDescent="0.3">
      <c r="C188" s="117" t="s">
        <v>2610</v>
      </c>
    </row>
    <row r="189" spans="3:3" x14ac:dyDescent="0.3">
      <c r="C189" s="117" t="s">
        <v>2611</v>
      </c>
    </row>
    <row r="190" spans="3:3" x14ac:dyDescent="0.3">
      <c r="C190" s="117" t="s">
        <v>2612</v>
      </c>
    </row>
    <row r="191" spans="3:3" x14ac:dyDescent="0.3">
      <c r="C191" s="117" t="s">
        <v>2613</v>
      </c>
    </row>
    <row r="192" spans="3:3" x14ac:dyDescent="0.3">
      <c r="C192" s="117" t="s">
        <v>2614</v>
      </c>
    </row>
    <row r="193" spans="3:3" x14ac:dyDescent="0.3">
      <c r="C193" s="117" t="s">
        <v>2615</v>
      </c>
    </row>
    <row r="194" spans="3:3" x14ac:dyDescent="0.3">
      <c r="C194" s="117" t="s">
        <v>2616</v>
      </c>
    </row>
    <row r="195" spans="3:3" x14ac:dyDescent="0.3">
      <c r="C195" s="117" t="s">
        <v>2617</v>
      </c>
    </row>
    <row r="196" spans="3:3" x14ac:dyDescent="0.3">
      <c r="C196" s="117" t="s">
        <v>2618</v>
      </c>
    </row>
    <row r="197" spans="3:3" x14ac:dyDescent="0.3">
      <c r="C197" s="117" t="s">
        <v>2619</v>
      </c>
    </row>
    <row r="198" spans="3:3" x14ac:dyDescent="0.3">
      <c r="C198" s="117" t="s">
        <v>263</v>
      </c>
    </row>
    <row r="199" spans="3:3" x14ac:dyDescent="0.3">
      <c r="C199" s="117" t="s">
        <v>2620</v>
      </c>
    </row>
    <row r="200" spans="3:3" x14ac:dyDescent="0.3">
      <c r="C200" s="117" t="s">
        <v>265</v>
      </c>
    </row>
    <row r="201" spans="3:3" x14ac:dyDescent="0.3">
      <c r="C201" s="117" t="s">
        <v>264</v>
      </c>
    </row>
    <row r="202" spans="3:3" x14ac:dyDescent="0.3">
      <c r="C202" s="117" t="s">
        <v>2621</v>
      </c>
    </row>
    <row r="203" spans="3:3" x14ac:dyDescent="0.3">
      <c r="C203" s="117" t="s">
        <v>2622</v>
      </c>
    </row>
    <row r="204" spans="3:3" x14ac:dyDescent="0.3">
      <c r="C204" s="117" t="s">
        <v>2623</v>
      </c>
    </row>
    <row r="205" spans="3:3" x14ac:dyDescent="0.3">
      <c r="C205" s="117" t="s">
        <v>2624</v>
      </c>
    </row>
    <row r="206" spans="3:3" x14ac:dyDescent="0.3">
      <c r="C206" s="117" t="s">
        <v>263</v>
      </c>
    </row>
    <row r="207" spans="3:3" x14ac:dyDescent="0.3">
      <c r="C207" s="117" t="s">
        <v>2438</v>
      </c>
    </row>
    <row r="208" spans="3:3" x14ac:dyDescent="0.3">
      <c r="C208" s="117" t="s">
        <v>2439</v>
      </c>
    </row>
    <row r="209" spans="3:3" x14ac:dyDescent="0.3">
      <c r="C209" s="117" t="s">
        <v>2625</v>
      </c>
    </row>
    <row r="210" spans="3:3" x14ac:dyDescent="0.3">
      <c r="C210" s="117" t="s">
        <v>2626</v>
      </c>
    </row>
    <row r="211" spans="3:3" x14ac:dyDescent="0.3">
      <c r="C211" s="117" t="s">
        <v>2627</v>
      </c>
    </row>
    <row r="212" spans="3:3" x14ac:dyDescent="0.3">
      <c r="C212" s="117" t="s">
        <v>263</v>
      </c>
    </row>
    <row r="213" spans="3:3" x14ac:dyDescent="0.3">
      <c r="C213" s="117" t="s">
        <v>263</v>
      </c>
    </row>
    <row r="214" spans="3:3" x14ac:dyDescent="0.3">
      <c r="C214" s="117" t="s">
        <v>2628</v>
      </c>
    </row>
    <row r="215" spans="3:3" x14ac:dyDescent="0.3">
      <c r="C215" s="117" t="s">
        <v>2629</v>
      </c>
    </row>
    <row r="216" spans="3:3" x14ac:dyDescent="0.3">
      <c r="C216" s="117" t="s">
        <v>2630</v>
      </c>
    </row>
    <row r="217" spans="3:3" x14ac:dyDescent="0.3">
      <c r="C217" s="117" t="s">
        <v>263</v>
      </c>
    </row>
    <row r="218" spans="3:3" ht="28.8" x14ac:dyDescent="0.3">
      <c r="C218" s="117" t="s">
        <v>2631</v>
      </c>
    </row>
    <row r="219" spans="3:3" x14ac:dyDescent="0.3">
      <c r="C219" s="117" t="s">
        <v>2632</v>
      </c>
    </row>
    <row r="220" spans="3:3" x14ac:dyDescent="0.3">
      <c r="C220" s="117" t="s">
        <v>2633</v>
      </c>
    </row>
    <row r="221" spans="3:3" x14ac:dyDescent="0.3">
      <c r="C221" s="117" t="s">
        <v>270</v>
      </c>
    </row>
    <row r="222" spans="3:3" x14ac:dyDescent="0.3">
      <c r="C222" s="117" t="s">
        <v>2634</v>
      </c>
    </row>
    <row r="223" spans="3:3" x14ac:dyDescent="0.3">
      <c r="C223" s="117" t="s">
        <v>2635</v>
      </c>
    </row>
    <row r="224" spans="3:3" x14ac:dyDescent="0.3">
      <c r="C224" s="117" t="s">
        <v>2636</v>
      </c>
    </row>
    <row r="225" spans="3:3" x14ac:dyDescent="0.3">
      <c r="C225" s="117" t="s">
        <v>2637</v>
      </c>
    </row>
    <row r="226" spans="3:3" x14ac:dyDescent="0.3">
      <c r="C226" s="117" t="s">
        <v>2638</v>
      </c>
    </row>
    <row r="227" spans="3:3" x14ac:dyDescent="0.3">
      <c r="C227" s="117" t="s">
        <v>2639</v>
      </c>
    </row>
    <row r="228" spans="3:3" x14ac:dyDescent="0.3">
      <c r="C228" s="117" t="s">
        <v>2640</v>
      </c>
    </row>
    <row r="229" spans="3:3" x14ac:dyDescent="0.3">
      <c r="C229" s="117" t="s">
        <v>2641</v>
      </c>
    </row>
    <row r="230" spans="3:3" x14ac:dyDescent="0.3">
      <c r="C230" s="117" t="s">
        <v>2621</v>
      </c>
    </row>
    <row r="231" spans="3:3" x14ac:dyDescent="0.3">
      <c r="C231" s="117" t="s">
        <v>2642</v>
      </c>
    </row>
    <row r="232" spans="3:3" x14ac:dyDescent="0.3">
      <c r="C232" s="117" t="s">
        <v>2643</v>
      </c>
    </row>
    <row r="233" spans="3:3" x14ac:dyDescent="0.3">
      <c r="C233" s="117" t="s">
        <v>2644</v>
      </c>
    </row>
    <row r="234" spans="3:3" x14ac:dyDescent="0.3">
      <c r="C234" s="117" t="s">
        <v>2645</v>
      </c>
    </row>
    <row r="235" spans="3:3" x14ac:dyDescent="0.3">
      <c r="C235" s="117" t="s">
        <v>2646</v>
      </c>
    </row>
    <row r="236" spans="3:3" x14ac:dyDescent="0.3">
      <c r="C236" s="117" t="s">
        <v>2387</v>
      </c>
    </row>
    <row r="237" spans="3:3" x14ac:dyDescent="0.3">
      <c r="C237" s="117" t="s">
        <v>2647</v>
      </c>
    </row>
    <row r="238" spans="3:3" x14ac:dyDescent="0.3">
      <c r="C238" s="117" t="s">
        <v>318</v>
      </c>
    </row>
    <row r="239" spans="3:3" x14ac:dyDescent="0.3">
      <c r="C239" s="117" t="s">
        <v>2648</v>
      </c>
    </row>
    <row r="240" spans="3:3" x14ac:dyDescent="0.3">
      <c r="C240" s="117" t="s">
        <v>267</v>
      </c>
    </row>
    <row r="241" spans="3:3" x14ac:dyDescent="0.3">
      <c r="C241" s="117" t="s">
        <v>2649</v>
      </c>
    </row>
    <row r="242" spans="3:3" x14ac:dyDescent="0.3">
      <c r="C242" s="117" t="s">
        <v>320</v>
      </c>
    </row>
    <row r="243" spans="3:3" x14ac:dyDescent="0.3">
      <c r="C243" s="117" t="s">
        <v>2650</v>
      </c>
    </row>
    <row r="244" spans="3:3" x14ac:dyDescent="0.3">
      <c r="C244" s="117" t="s">
        <v>2651</v>
      </c>
    </row>
    <row r="245" spans="3:3" x14ac:dyDescent="0.3">
      <c r="C245" s="117" t="s">
        <v>321</v>
      </c>
    </row>
    <row r="246" spans="3:3" x14ac:dyDescent="0.3">
      <c r="C246" s="117" t="s">
        <v>2652</v>
      </c>
    </row>
    <row r="247" spans="3:3" x14ac:dyDescent="0.3">
      <c r="C247" s="117" t="s">
        <v>2653</v>
      </c>
    </row>
    <row r="248" spans="3:3" x14ac:dyDescent="0.3">
      <c r="C248" s="117" t="s">
        <v>2654</v>
      </c>
    </row>
    <row r="249" spans="3:3" x14ac:dyDescent="0.3">
      <c r="C249" s="117" t="s">
        <v>2655</v>
      </c>
    </row>
    <row r="250" spans="3:3" x14ac:dyDescent="0.3">
      <c r="C250" s="117" t="s">
        <v>2656</v>
      </c>
    </row>
    <row r="251" spans="3:3" x14ac:dyDescent="0.3">
      <c r="C251" s="117" t="s">
        <v>2657</v>
      </c>
    </row>
    <row r="252" spans="3:3" x14ac:dyDescent="0.3">
      <c r="C252" s="117" t="s">
        <v>2658</v>
      </c>
    </row>
    <row r="253" spans="3:3" x14ac:dyDescent="0.3">
      <c r="C253" s="117" t="s">
        <v>2659</v>
      </c>
    </row>
    <row r="254" spans="3:3" x14ac:dyDescent="0.3">
      <c r="C254" s="117" t="s">
        <v>2660</v>
      </c>
    </row>
    <row r="255" spans="3:3" x14ac:dyDescent="0.3">
      <c r="C255" s="117" t="s">
        <v>2661</v>
      </c>
    </row>
    <row r="256" spans="3:3" x14ac:dyDescent="0.3">
      <c r="C256" s="117" t="s">
        <v>2662</v>
      </c>
    </row>
    <row r="257" spans="3:3" x14ac:dyDescent="0.3">
      <c r="C257" s="117" t="s">
        <v>265</v>
      </c>
    </row>
    <row r="258" spans="3:3" ht="28.8" x14ac:dyDescent="0.3">
      <c r="C258" s="117" t="s">
        <v>2663</v>
      </c>
    </row>
    <row r="259" spans="3:3" x14ac:dyDescent="0.3">
      <c r="C259" s="117" t="s">
        <v>2664</v>
      </c>
    </row>
    <row r="260" spans="3:3" ht="28.8" x14ac:dyDescent="0.3">
      <c r="C260" s="117" t="s">
        <v>2665</v>
      </c>
    </row>
    <row r="261" spans="3:3" x14ac:dyDescent="0.3">
      <c r="C261" s="117" t="s">
        <v>265</v>
      </c>
    </row>
    <row r="262" spans="3:3" x14ac:dyDescent="0.3">
      <c r="C262" s="117" t="s">
        <v>2666</v>
      </c>
    </row>
    <row r="263" spans="3:3" x14ac:dyDescent="0.3">
      <c r="C263" s="117" t="s">
        <v>2667</v>
      </c>
    </row>
    <row r="264" spans="3:3" x14ac:dyDescent="0.3">
      <c r="C264" s="117" t="s">
        <v>2668</v>
      </c>
    </row>
    <row r="265" spans="3:3" x14ac:dyDescent="0.3">
      <c r="C265" s="117" t="s">
        <v>2669</v>
      </c>
    </row>
    <row r="266" spans="3:3" x14ac:dyDescent="0.3">
      <c r="C266" s="117" t="s">
        <v>2670</v>
      </c>
    </row>
    <row r="267" spans="3:3" x14ac:dyDescent="0.3">
      <c r="C267" s="117" t="s">
        <v>2671</v>
      </c>
    </row>
    <row r="268" spans="3:3" x14ac:dyDescent="0.3">
      <c r="C268" s="117" t="s">
        <v>2672</v>
      </c>
    </row>
    <row r="269" spans="3:3" x14ac:dyDescent="0.3">
      <c r="C269" s="117" t="s">
        <v>263</v>
      </c>
    </row>
    <row r="270" spans="3:3" x14ac:dyDescent="0.3">
      <c r="C270" s="117" t="s">
        <v>2673</v>
      </c>
    </row>
    <row r="271" spans="3:3" x14ac:dyDescent="0.3">
      <c r="C271" s="117" t="s">
        <v>2561</v>
      </c>
    </row>
    <row r="272" spans="3:3" x14ac:dyDescent="0.3">
      <c r="C272" s="117" t="s">
        <v>2674</v>
      </c>
    </row>
    <row r="273" spans="3:3" x14ac:dyDescent="0.3">
      <c r="C273" s="117" t="s">
        <v>2675</v>
      </c>
    </row>
    <row r="274" spans="3:3" x14ac:dyDescent="0.3">
      <c r="C274" s="117" t="s">
        <v>2676</v>
      </c>
    </row>
    <row r="275" spans="3:3" x14ac:dyDescent="0.3">
      <c r="C275" s="117" t="s">
        <v>2379</v>
      </c>
    </row>
    <row r="276" spans="3:3" x14ac:dyDescent="0.3">
      <c r="C276" s="117" t="s">
        <v>2677</v>
      </c>
    </row>
    <row r="277" spans="3:3" x14ac:dyDescent="0.3">
      <c r="C277" s="117" t="s">
        <v>2380</v>
      </c>
    </row>
    <row r="278" spans="3:3" x14ac:dyDescent="0.3">
      <c r="C278" s="117" t="s">
        <v>2678</v>
      </c>
    </row>
    <row r="279" spans="3:3" x14ac:dyDescent="0.3">
      <c r="C279" s="117" t="s">
        <v>2679</v>
      </c>
    </row>
    <row r="280" spans="3:3" x14ac:dyDescent="0.3">
      <c r="C280" s="117" t="s">
        <v>2680</v>
      </c>
    </row>
    <row r="281" spans="3:3" x14ac:dyDescent="0.3">
      <c r="C281" s="117" t="s">
        <v>263</v>
      </c>
    </row>
    <row r="282" spans="3:3" x14ac:dyDescent="0.3">
      <c r="C282" s="117" t="s">
        <v>2681</v>
      </c>
    </row>
    <row r="283" spans="3:3" x14ac:dyDescent="0.3">
      <c r="C283" s="117" t="s">
        <v>2682</v>
      </c>
    </row>
    <row r="284" spans="3:3" x14ac:dyDescent="0.3">
      <c r="C284" s="117" t="s">
        <v>2683</v>
      </c>
    </row>
    <row r="285" spans="3:3" x14ac:dyDescent="0.3">
      <c r="C285" s="117" t="s">
        <v>2684</v>
      </c>
    </row>
    <row r="286" spans="3:3" x14ac:dyDescent="0.3">
      <c r="C286" s="117" t="s">
        <v>2685</v>
      </c>
    </row>
    <row r="287" spans="3:3" x14ac:dyDescent="0.3">
      <c r="C287" s="117" t="s">
        <v>2686</v>
      </c>
    </row>
    <row r="288" spans="3:3" x14ac:dyDescent="0.3">
      <c r="C288" s="117" t="s">
        <v>265</v>
      </c>
    </row>
    <row r="289" spans="3:3" x14ac:dyDescent="0.3">
      <c r="C289" s="117" t="s">
        <v>2687</v>
      </c>
    </row>
    <row r="290" spans="3:3" x14ac:dyDescent="0.3">
      <c r="C290" s="117" t="s">
        <v>2688</v>
      </c>
    </row>
    <row r="291" spans="3:3" x14ac:dyDescent="0.3">
      <c r="C291" s="117" t="s">
        <v>265</v>
      </c>
    </row>
    <row r="292" spans="3:3" x14ac:dyDescent="0.3">
      <c r="C292" s="117" t="s">
        <v>2689</v>
      </c>
    </row>
    <row r="293" spans="3:3" x14ac:dyDescent="0.3">
      <c r="C293" s="117" t="s">
        <v>265</v>
      </c>
    </row>
    <row r="294" spans="3:3" x14ac:dyDescent="0.3">
      <c r="C294" s="117" t="s">
        <v>2690</v>
      </c>
    </row>
    <row r="295" spans="3:3" x14ac:dyDescent="0.3">
      <c r="C295" s="117" t="s">
        <v>2691</v>
      </c>
    </row>
    <row r="296" spans="3:3" x14ac:dyDescent="0.3">
      <c r="C296" s="117" t="s">
        <v>323</v>
      </c>
    </row>
    <row r="298" spans="3:3" x14ac:dyDescent="0.3">
      <c r="C298" s="117" t="s">
        <v>2692</v>
      </c>
    </row>
    <row r="300" spans="3:3" x14ac:dyDescent="0.3">
      <c r="C300" s="117" t="s">
        <v>266</v>
      </c>
    </row>
    <row r="301" spans="3:3" x14ac:dyDescent="0.3">
      <c r="C301" s="117" t="s">
        <v>266</v>
      </c>
    </row>
    <row r="302" spans="3:3" x14ac:dyDescent="0.3">
      <c r="C302" s="117" t="s">
        <v>2363</v>
      </c>
    </row>
    <row r="303" spans="3:3" x14ac:dyDescent="0.3">
      <c r="C303" s="117" t="s">
        <v>2524</v>
      </c>
    </row>
    <row r="304" spans="3:3" x14ac:dyDescent="0.3">
      <c r="C304" s="117" t="s">
        <v>2525</v>
      </c>
    </row>
    <row r="305" spans="3:3" x14ac:dyDescent="0.3">
      <c r="C305" s="117" t="s">
        <v>2364</v>
      </c>
    </row>
    <row r="306" spans="3:3" x14ac:dyDescent="0.3">
      <c r="C306" s="117" t="s">
        <v>2365</v>
      </c>
    </row>
    <row r="307" spans="3:3" x14ac:dyDescent="0.3">
      <c r="C307" s="117" t="s">
        <v>266</v>
      </c>
    </row>
    <row r="308" spans="3:3" x14ac:dyDescent="0.3">
      <c r="C308" s="117" t="s">
        <v>266</v>
      </c>
    </row>
    <row r="309" spans="3:3" x14ac:dyDescent="0.3">
      <c r="C309" s="117" t="s">
        <v>2366</v>
      </c>
    </row>
    <row r="310" spans="3:3" x14ac:dyDescent="0.3">
      <c r="C310" s="117" t="s">
        <v>2367</v>
      </c>
    </row>
    <row r="311" spans="3:3" x14ac:dyDescent="0.3">
      <c r="C311" s="117" t="s">
        <v>2368</v>
      </c>
    </row>
    <row r="312" spans="3:3" x14ac:dyDescent="0.3">
      <c r="C312" s="117" t="s">
        <v>2693</v>
      </c>
    </row>
    <row r="313" spans="3:3" x14ac:dyDescent="0.3">
      <c r="C313" s="117" t="s">
        <v>2369</v>
      </c>
    </row>
    <row r="314" spans="3:3" x14ac:dyDescent="0.3">
      <c r="C314" s="117" t="s">
        <v>2370</v>
      </c>
    </row>
    <row r="315" spans="3:3" x14ac:dyDescent="0.3">
      <c r="C315" s="117" t="s">
        <v>2371</v>
      </c>
    </row>
    <row r="316" spans="3:3" x14ac:dyDescent="0.3">
      <c r="C316" s="117" t="s">
        <v>2372</v>
      </c>
    </row>
    <row r="317" spans="3:3" x14ac:dyDescent="0.3">
      <c r="C317" s="117" t="s">
        <v>2373</v>
      </c>
    </row>
    <row r="318" spans="3:3" x14ac:dyDescent="0.3">
      <c r="C318" s="117" t="s">
        <v>2374</v>
      </c>
    </row>
    <row r="319" spans="3:3" x14ac:dyDescent="0.3">
      <c r="C319" s="117" t="s">
        <v>2694</v>
      </c>
    </row>
    <row r="320" spans="3:3" x14ac:dyDescent="0.3">
      <c r="C320" s="117" t="s">
        <v>2375</v>
      </c>
    </row>
    <row r="321" spans="3:3" x14ac:dyDescent="0.3">
      <c r="C321" s="117" t="s">
        <v>2376</v>
      </c>
    </row>
    <row r="322" spans="3:3" x14ac:dyDescent="0.3">
      <c r="C322" s="117" t="s">
        <v>2377</v>
      </c>
    </row>
    <row r="323" spans="3:3" x14ac:dyDescent="0.3">
      <c r="C323" s="117" t="s">
        <v>2302</v>
      </c>
    </row>
    <row r="324" spans="3:3" x14ac:dyDescent="0.3">
      <c r="C324" s="117" t="s">
        <v>2535</v>
      </c>
    </row>
    <row r="325" spans="3:3" x14ac:dyDescent="0.3">
      <c r="C325" s="117" t="s">
        <v>2536</v>
      </c>
    </row>
    <row r="326" spans="3:3" x14ac:dyDescent="0.3">
      <c r="C326" s="117" t="s">
        <v>2544</v>
      </c>
    </row>
    <row r="327" spans="3:3" x14ac:dyDescent="0.3">
      <c r="C327" s="117" t="s">
        <v>2695</v>
      </c>
    </row>
    <row r="328" spans="3:3" x14ac:dyDescent="0.3">
      <c r="C328" s="117" t="s">
        <v>266</v>
      </c>
    </row>
    <row r="329" spans="3:3" x14ac:dyDescent="0.3">
      <c r="C329" s="117" t="s">
        <v>266</v>
      </c>
    </row>
    <row r="330" spans="3:3" x14ac:dyDescent="0.3">
      <c r="C330" s="117" t="s">
        <v>2545</v>
      </c>
    </row>
    <row r="331" spans="3:3" x14ac:dyDescent="0.3">
      <c r="C331" s="117" t="s">
        <v>266</v>
      </c>
    </row>
    <row r="332" spans="3:3" x14ac:dyDescent="0.3">
      <c r="C332" s="117" t="s">
        <v>266</v>
      </c>
    </row>
    <row r="333" spans="3:3" x14ac:dyDescent="0.3">
      <c r="C333" s="117" t="s">
        <v>2378</v>
      </c>
    </row>
    <row r="334" spans="3:3" x14ac:dyDescent="0.3">
      <c r="C334" s="117" t="s">
        <v>266</v>
      </c>
    </row>
    <row r="335" spans="3:3" x14ac:dyDescent="0.3">
      <c r="C335" s="117" t="s">
        <v>275</v>
      </c>
    </row>
    <row r="336" spans="3:3" x14ac:dyDescent="0.3">
      <c r="C336" s="117" t="s">
        <v>2696</v>
      </c>
    </row>
    <row r="337" spans="3:3" x14ac:dyDescent="0.3">
      <c r="C337" s="117" t="s">
        <v>2697</v>
      </c>
    </row>
    <row r="338" spans="3:3" x14ac:dyDescent="0.3">
      <c r="C338" s="117" t="s">
        <v>2698</v>
      </c>
    </row>
    <row r="339" spans="3:3" x14ac:dyDescent="0.3">
      <c r="C339" s="117" t="s">
        <v>314</v>
      </c>
    </row>
    <row r="340" spans="3:3" x14ac:dyDescent="0.3">
      <c r="C340" s="117" t="s">
        <v>2699</v>
      </c>
    </row>
    <row r="341" spans="3:3" x14ac:dyDescent="0.3">
      <c r="C341" s="117" t="s">
        <v>2700</v>
      </c>
    </row>
    <row r="342" spans="3:3" x14ac:dyDescent="0.3">
      <c r="C342" s="117" t="s">
        <v>2701</v>
      </c>
    </row>
    <row r="343" spans="3:3" x14ac:dyDescent="0.3">
      <c r="C343" s="117" t="s">
        <v>2702</v>
      </c>
    </row>
    <row r="344" spans="3:3" x14ac:dyDescent="0.3">
      <c r="C344" s="117" t="s">
        <v>2539</v>
      </c>
    </row>
    <row r="345" spans="3:3" x14ac:dyDescent="0.3">
      <c r="C345" s="117" t="s">
        <v>2703</v>
      </c>
    </row>
    <row r="346" spans="3:3" x14ac:dyDescent="0.3">
      <c r="C346" s="117" t="s">
        <v>2704</v>
      </c>
    </row>
    <row r="347" spans="3:3" x14ac:dyDescent="0.3">
      <c r="C347" s="117" t="s">
        <v>2705</v>
      </c>
    </row>
    <row r="348" spans="3:3" x14ac:dyDescent="0.3">
      <c r="C348" s="117" t="s">
        <v>2706</v>
      </c>
    </row>
    <row r="349" spans="3:3" x14ac:dyDescent="0.3">
      <c r="C349" s="117" t="s">
        <v>2707</v>
      </c>
    </row>
    <row r="350" spans="3:3" x14ac:dyDescent="0.3">
      <c r="C350" s="117" t="s">
        <v>2708</v>
      </c>
    </row>
    <row r="351" spans="3:3" x14ac:dyDescent="0.3">
      <c r="C351" s="117" t="s">
        <v>2709</v>
      </c>
    </row>
    <row r="352" spans="3:3" x14ac:dyDescent="0.3">
      <c r="C352" s="117" t="s">
        <v>2389</v>
      </c>
    </row>
    <row r="353" spans="3:3" x14ac:dyDescent="0.3">
      <c r="C353" s="117" t="s">
        <v>317</v>
      </c>
    </row>
    <row r="354" spans="3:3" x14ac:dyDescent="0.3">
      <c r="C354" s="117" t="s">
        <v>2387</v>
      </c>
    </row>
    <row r="355" spans="3:3" x14ac:dyDescent="0.3">
      <c r="C355" s="117" t="s">
        <v>2710</v>
      </c>
    </row>
    <row r="356" spans="3:3" x14ac:dyDescent="0.3">
      <c r="C356" s="117" t="s">
        <v>2711</v>
      </c>
    </row>
    <row r="357" spans="3:3" x14ac:dyDescent="0.3">
      <c r="C357" s="117" t="s">
        <v>2712</v>
      </c>
    </row>
    <row r="358" spans="3:3" x14ac:dyDescent="0.3">
      <c r="C358" s="117" t="s">
        <v>318</v>
      </c>
    </row>
    <row r="360" spans="3:3" x14ac:dyDescent="0.3">
      <c r="C360" s="117" t="s">
        <v>267</v>
      </c>
    </row>
    <row r="361" spans="3:3" x14ac:dyDescent="0.3">
      <c r="C361" s="117" t="s">
        <v>2388</v>
      </c>
    </row>
    <row r="362" spans="3:3" x14ac:dyDescent="0.3">
      <c r="C362" s="117" t="s">
        <v>263</v>
      </c>
    </row>
    <row r="363" spans="3:3" x14ac:dyDescent="0.3">
      <c r="C363" s="117" t="s">
        <v>266</v>
      </c>
    </row>
    <row r="364" spans="3:3" x14ac:dyDescent="0.3">
      <c r="C364" s="117" t="s">
        <v>2390</v>
      </c>
    </row>
    <row r="365" spans="3:3" x14ac:dyDescent="0.3">
      <c r="C365" s="117" t="s">
        <v>2391</v>
      </c>
    </row>
    <row r="366" spans="3:3" x14ac:dyDescent="0.3">
      <c r="C366" s="117" t="s">
        <v>275</v>
      </c>
    </row>
    <row r="367" spans="3:3" x14ac:dyDescent="0.3">
      <c r="C367" s="118" t="s">
        <v>2713</v>
      </c>
    </row>
    <row r="368" spans="3:3" x14ac:dyDescent="0.3">
      <c r="C368" s="118" t="s">
        <v>2392</v>
      </c>
    </row>
    <row r="369" spans="3:3" x14ac:dyDescent="0.3">
      <c r="C369" s="118" t="s">
        <v>273</v>
      </c>
    </row>
    <row r="370" spans="3:3" x14ac:dyDescent="0.3">
      <c r="C370" s="118" t="s">
        <v>2393</v>
      </c>
    </row>
    <row r="371" spans="3:3" x14ac:dyDescent="0.3">
      <c r="C371" s="118" t="s">
        <v>274</v>
      </c>
    </row>
    <row r="372" spans="3:3" x14ac:dyDescent="0.3">
      <c r="C372" s="118" t="s">
        <v>2452</v>
      </c>
    </row>
    <row r="373" spans="3:3" x14ac:dyDescent="0.3">
      <c r="C373" s="118" t="s">
        <v>2714</v>
      </c>
    </row>
    <row r="374" spans="3:3" x14ac:dyDescent="0.3">
      <c r="C374" s="118" t="s">
        <v>2394</v>
      </c>
    </row>
    <row r="375" spans="3:3" x14ac:dyDescent="0.3">
      <c r="C375" s="118" t="s">
        <v>2715</v>
      </c>
    </row>
    <row r="376" spans="3:3" x14ac:dyDescent="0.3">
      <c r="C376" s="118" t="s">
        <v>2395</v>
      </c>
    </row>
    <row r="377" spans="3:3" x14ac:dyDescent="0.3">
      <c r="C377" s="118" t="s">
        <v>274</v>
      </c>
    </row>
    <row r="378" spans="3:3" x14ac:dyDescent="0.3">
      <c r="C378" s="117" t="s">
        <v>275</v>
      </c>
    </row>
    <row r="379" spans="3:3" x14ac:dyDescent="0.3">
      <c r="C379" s="117" t="s">
        <v>2716</v>
      </c>
    </row>
    <row r="380" spans="3:3" x14ac:dyDescent="0.3">
      <c r="C380" s="117" t="s">
        <v>2717</v>
      </c>
    </row>
    <row r="381" spans="3:3" x14ac:dyDescent="0.3">
      <c r="C381" s="117" t="s">
        <v>312</v>
      </c>
    </row>
    <row r="382" spans="3:3" x14ac:dyDescent="0.3">
      <c r="C382" s="117" t="s">
        <v>314</v>
      </c>
    </row>
    <row r="383" spans="3:3" x14ac:dyDescent="0.3">
      <c r="C383" s="117" t="s">
        <v>2718</v>
      </c>
    </row>
    <row r="384" spans="3:3" ht="28.8" x14ac:dyDescent="0.3">
      <c r="C384" s="117" t="s">
        <v>2719</v>
      </c>
    </row>
    <row r="385" spans="3:3" x14ac:dyDescent="0.3">
      <c r="C385" s="117" t="s">
        <v>267</v>
      </c>
    </row>
    <row r="386" spans="3:3" x14ac:dyDescent="0.3">
      <c r="C386" s="117" t="s">
        <v>269</v>
      </c>
    </row>
    <row r="387" spans="3:3" x14ac:dyDescent="0.3">
      <c r="C387" s="117" t="s">
        <v>2396</v>
      </c>
    </row>
    <row r="388" spans="3:3" x14ac:dyDescent="0.3">
      <c r="C388" s="117" t="s">
        <v>2720</v>
      </c>
    </row>
    <row r="389" spans="3:3" x14ac:dyDescent="0.3">
      <c r="C389" s="117" t="s">
        <v>2721</v>
      </c>
    </row>
    <row r="390" spans="3:3" x14ac:dyDescent="0.3">
      <c r="C390" s="117" t="s">
        <v>2722</v>
      </c>
    </row>
    <row r="391" spans="3:3" x14ac:dyDescent="0.3">
      <c r="C391" s="117" t="s">
        <v>2723</v>
      </c>
    </row>
    <row r="392" spans="3:3" x14ac:dyDescent="0.3">
      <c r="C392" s="117" t="s">
        <v>2724</v>
      </c>
    </row>
    <row r="393" spans="3:3" x14ac:dyDescent="0.3">
      <c r="C393" s="117" t="s">
        <v>2788</v>
      </c>
    </row>
    <row r="394" spans="3:3" x14ac:dyDescent="0.3">
      <c r="C394" s="117" t="s">
        <v>2526</v>
      </c>
    </row>
    <row r="395" spans="3:3" ht="28.8" x14ac:dyDescent="0.3">
      <c r="C395" s="117" t="s">
        <v>2546</v>
      </c>
    </row>
    <row r="396" spans="3:3" x14ac:dyDescent="0.3">
      <c r="C396" s="117" t="s">
        <v>2547</v>
      </c>
    </row>
    <row r="397" spans="3:3" x14ac:dyDescent="0.3">
      <c r="C397" s="117" t="s">
        <v>2789</v>
      </c>
    </row>
    <row r="398" spans="3:3" x14ac:dyDescent="0.3">
      <c r="C398" s="117" t="s">
        <v>269</v>
      </c>
    </row>
    <row r="399" spans="3:3" x14ac:dyDescent="0.3">
      <c r="C399" s="117" t="s">
        <v>2527</v>
      </c>
    </row>
    <row r="400" spans="3:3" x14ac:dyDescent="0.3">
      <c r="C400" s="117" t="s">
        <v>2397</v>
      </c>
    </row>
    <row r="401" spans="3:3" x14ac:dyDescent="0.3">
      <c r="C401" s="117" t="s">
        <v>2398</v>
      </c>
    </row>
    <row r="402" spans="3:3" ht="28.8" x14ac:dyDescent="0.3">
      <c r="C402" s="117" t="s">
        <v>2399</v>
      </c>
    </row>
    <row r="403" spans="3:3" x14ac:dyDescent="0.3">
      <c r="C403" s="117" t="s">
        <v>2400</v>
      </c>
    </row>
    <row r="404" spans="3:3" x14ac:dyDescent="0.3">
      <c r="C404" s="117" t="s">
        <v>2401</v>
      </c>
    </row>
    <row r="405" spans="3:3" x14ac:dyDescent="0.3">
      <c r="C405" s="117" t="s">
        <v>2402</v>
      </c>
    </row>
    <row r="406" spans="3:3" x14ac:dyDescent="0.3">
      <c r="C406" s="117" t="s">
        <v>2725</v>
      </c>
    </row>
    <row r="407" spans="3:3" x14ac:dyDescent="0.3">
      <c r="C407" s="117" t="s">
        <v>269</v>
      </c>
    </row>
    <row r="408" spans="3:3" x14ac:dyDescent="0.3">
      <c r="C408" s="117" t="s">
        <v>2726</v>
      </c>
    </row>
    <row r="409" spans="3:3" x14ac:dyDescent="0.3">
      <c r="C409" s="117" t="s">
        <v>2528</v>
      </c>
    </row>
    <row r="410" spans="3:3" ht="28.8" x14ac:dyDescent="0.3">
      <c r="C410" s="117" t="s">
        <v>2548</v>
      </c>
    </row>
    <row r="411" spans="3:3" x14ac:dyDescent="0.3">
      <c r="C411" s="117" t="s">
        <v>2549</v>
      </c>
    </row>
    <row r="412" spans="3:3" x14ac:dyDescent="0.3">
      <c r="C412" s="117" t="s">
        <v>2403</v>
      </c>
    </row>
    <row r="413" spans="3:3" x14ac:dyDescent="0.3">
      <c r="C413" s="117" t="s">
        <v>269</v>
      </c>
    </row>
    <row r="414" spans="3:3" x14ac:dyDescent="0.3">
      <c r="C414" s="118" t="s">
        <v>2550</v>
      </c>
    </row>
    <row r="415" spans="3:3" ht="28.8" x14ac:dyDescent="0.3">
      <c r="C415" s="118" t="s">
        <v>2404</v>
      </c>
    </row>
    <row r="416" spans="3:3" x14ac:dyDescent="0.3">
      <c r="C416" s="118" t="s">
        <v>2551</v>
      </c>
    </row>
    <row r="417" spans="3:3" ht="28.8" x14ac:dyDescent="0.3">
      <c r="C417" s="118" t="s">
        <v>2405</v>
      </c>
    </row>
    <row r="418" spans="3:3" x14ac:dyDescent="0.3">
      <c r="C418" s="118" t="s">
        <v>2552</v>
      </c>
    </row>
    <row r="419" spans="3:3" ht="28.8" x14ac:dyDescent="0.3">
      <c r="C419" s="118" t="s">
        <v>2406</v>
      </c>
    </row>
    <row r="420" spans="3:3" x14ac:dyDescent="0.3">
      <c r="C420" s="118" t="s">
        <v>2553</v>
      </c>
    </row>
    <row r="421" spans="3:3" x14ac:dyDescent="0.3">
      <c r="C421" s="118" t="s">
        <v>2452</v>
      </c>
    </row>
    <row r="422" spans="3:3" x14ac:dyDescent="0.3">
      <c r="C422" s="117" t="s">
        <v>2407</v>
      </c>
    </row>
    <row r="423" spans="3:3" x14ac:dyDescent="0.3">
      <c r="C423" s="117" t="s">
        <v>270</v>
      </c>
    </row>
    <row r="424" spans="3:3" x14ac:dyDescent="0.3">
      <c r="C424" s="117" t="s">
        <v>2554</v>
      </c>
    </row>
    <row r="425" spans="3:3" x14ac:dyDescent="0.3">
      <c r="C425" s="117" t="s">
        <v>2408</v>
      </c>
    </row>
    <row r="426" spans="3:3" x14ac:dyDescent="0.3">
      <c r="C426" s="117" t="s">
        <v>269</v>
      </c>
    </row>
    <row r="427" spans="3:3" x14ac:dyDescent="0.3">
      <c r="C427" s="117" t="s">
        <v>2321</v>
      </c>
    </row>
    <row r="428" spans="3:3" x14ac:dyDescent="0.3">
      <c r="C428" s="117" t="s">
        <v>2409</v>
      </c>
    </row>
    <row r="429" spans="3:3" x14ac:dyDescent="0.3">
      <c r="C429" s="117" t="s">
        <v>2727</v>
      </c>
    </row>
    <row r="430" spans="3:3" x14ac:dyDescent="0.3">
      <c r="C430" s="117" t="s">
        <v>2410</v>
      </c>
    </row>
    <row r="431" spans="3:3" x14ac:dyDescent="0.3">
      <c r="C431" s="117" t="s">
        <v>2728</v>
      </c>
    </row>
    <row r="432" spans="3:3" x14ac:dyDescent="0.3">
      <c r="C432" s="117" t="s">
        <v>2790</v>
      </c>
    </row>
    <row r="433" spans="3:3" x14ac:dyDescent="0.3">
      <c r="C433" s="117" t="s">
        <v>2791</v>
      </c>
    </row>
    <row r="434" spans="3:3" x14ac:dyDescent="0.3">
      <c r="C434" s="117" t="s">
        <v>269</v>
      </c>
    </row>
    <row r="435" spans="3:3" x14ac:dyDescent="0.3">
      <c r="C435" s="117" t="s">
        <v>2729</v>
      </c>
    </row>
    <row r="436" spans="3:3" ht="28.8" x14ac:dyDescent="0.3">
      <c r="C436" s="117" t="s">
        <v>2555</v>
      </c>
    </row>
    <row r="437" spans="3:3" x14ac:dyDescent="0.3">
      <c r="C437" s="117" t="s">
        <v>2556</v>
      </c>
    </row>
    <row r="438" spans="3:3" x14ac:dyDescent="0.3">
      <c r="C438" s="117" t="s">
        <v>2730</v>
      </c>
    </row>
    <row r="439" spans="3:3" x14ac:dyDescent="0.3">
      <c r="C439" s="117" t="s">
        <v>275</v>
      </c>
    </row>
    <row r="440" spans="3:3" ht="28.8" x14ac:dyDescent="0.3">
      <c r="C440" s="118" t="s">
        <v>2411</v>
      </c>
    </row>
    <row r="441" spans="3:3" x14ac:dyDescent="0.3">
      <c r="C441" s="118" t="s">
        <v>2557</v>
      </c>
    </row>
    <row r="442" spans="3:3" ht="28.8" x14ac:dyDescent="0.3">
      <c r="C442" s="118" t="s">
        <v>2412</v>
      </c>
    </row>
    <row r="443" spans="3:3" x14ac:dyDescent="0.3">
      <c r="C443" s="118" t="s">
        <v>2552</v>
      </c>
    </row>
    <row r="444" spans="3:3" ht="28.8" x14ac:dyDescent="0.3">
      <c r="C444" s="118" t="s">
        <v>2413</v>
      </c>
    </row>
    <row r="445" spans="3:3" x14ac:dyDescent="0.3">
      <c r="C445" s="118" t="s">
        <v>2558</v>
      </c>
    </row>
    <row r="446" spans="3:3" x14ac:dyDescent="0.3">
      <c r="C446" s="117" t="s">
        <v>269</v>
      </c>
    </row>
    <row r="447" spans="3:3" x14ac:dyDescent="0.3">
      <c r="C447" s="117" t="s">
        <v>2414</v>
      </c>
    </row>
    <row r="448" spans="3:3" x14ac:dyDescent="0.3">
      <c r="C448" s="118" t="s">
        <v>2415</v>
      </c>
    </row>
    <row r="449" spans="3:3" ht="28.8" x14ac:dyDescent="0.3">
      <c r="C449" s="118" t="s">
        <v>2416</v>
      </c>
    </row>
    <row r="450" spans="3:3" x14ac:dyDescent="0.3">
      <c r="C450" s="118" t="s">
        <v>2417</v>
      </c>
    </row>
    <row r="451" spans="3:3" x14ac:dyDescent="0.3">
      <c r="C451" s="118" t="s">
        <v>2418</v>
      </c>
    </row>
    <row r="452" spans="3:3" x14ac:dyDescent="0.3">
      <c r="C452" s="118" t="s">
        <v>2419</v>
      </c>
    </row>
    <row r="453" spans="3:3" x14ac:dyDescent="0.3">
      <c r="C453" s="117" t="s">
        <v>2420</v>
      </c>
    </row>
    <row r="454" spans="3:3" x14ac:dyDescent="0.3">
      <c r="C454" s="117" t="s">
        <v>2421</v>
      </c>
    </row>
    <row r="455" spans="3:3" x14ac:dyDescent="0.3">
      <c r="C455" s="117" t="s">
        <v>275</v>
      </c>
    </row>
    <row r="456" spans="3:3" x14ac:dyDescent="0.3">
      <c r="C456" s="117" t="s">
        <v>319</v>
      </c>
    </row>
    <row r="457" spans="3:3" x14ac:dyDescent="0.3">
      <c r="C457" s="117" t="s">
        <v>2559</v>
      </c>
    </row>
    <row r="458" spans="3:3" x14ac:dyDescent="0.3">
      <c r="C458" s="117" t="s">
        <v>320</v>
      </c>
    </row>
    <row r="459" spans="3:3" x14ac:dyDescent="0.3">
      <c r="C459" s="117" t="s">
        <v>321</v>
      </c>
    </row>
    <row r="460" spans="3:3" x14ac:dyDescent="0.3">
      <c r="C460" s="117" t="s">
        <v>2731</v>
      </c>
    </row>
    <row r="461" spans="3:3" x14ac:dyDescent="0.3">
      <c r="C461" s="117" t="s">
        <v>2383</v>
      </c>
    </row>
    <row r="462" spans="3:3" x14ac:dyDescent="0.3">
      <c r="C462" s="117" t="s">
        <v>2732</v>
      </c>
    </row>
    <row r="463" spans="3:3" x14ac:dyDescent="0.3">
      <c r="C463" s="117" t="s">
        <v>2733</v>
      </c>
    </row>
    <row r="464" spans="3:3" x14ac:dyDescent="0.3">
      <c r="C464" s="117" t="s">
        <v>2734</v>
      </c>
    </row>
    <row r="465" spans="3:3" x14ac:dyDescent="0.3">
      <c r="C465" s="117" t="s">
        <v>2383</v>
      </c>
    </row>
    <row r="466" spans="3:3" x14ac:dyDescent="0.3">
      <c r="C466" s="117" t="s">
        <v>2735</v>
      </c>
    </row>
    <row r="467" spans="3:3" x14ac:dyDescent="0.3">
      <c r="C467" s="117" t="s">
        <v>2792</v>
      </c>
    </row>
    <row r="468" spans="3:3" x14ac:dyDescent="0.3">
      <c r="C468" s="117" t="s">
        <v>2736</v>
      </c>
    </row>
    <row r="469" spans="3:3" x14ac:dyDescent="0.3">
      <c r="C469" s="117" t="s">
        <v>2737</v>
      </c>
    </row>
    <row r="470" spans="3:3" x14ac:dyDescent="0.3">
      <c r="C470" s="117" t="s">
        <v>2738</v>
      </c>
    </row>
    <row r="471" spans="3:3" x14ac:dyDescent="0.3">
      <c r="C471" s="117" t="s">
        <v>2560</v>
      </c>
    </row>
    <row r="472" spans="3:3" x14ac:dyDescent="0.3">
      <c r="C472" s="117" t="s">
        <v>2739</v>
      </c>
    </row>
    <row r="473" spans="3:3" x14ac:dyDescent="0.3">
      <c r="C473" s="117" t="s">
        <v>2383</v>
      </c>
    </row>
    <row r="474" spans="3:3" x14ac:dyDescent="0.3">
      <c r="C474" s="117" t="s">
        <v>2423</v>
      </c>
    </row>
    <row r="475" spans="3:3" x14ac:dyDescent="0.3">
      <c r="C475" s="117" t="s">
        <v>275</v>
      </c>
    </row>
    <row r="476" spans="3:3" x14ac:dyDescent="0.3">
      <c r="C476" s="117" t="s">
        <v>314</v>
      </c>
    </row>
    <row r="477" spans="3:3" x14ac:dyDescent="0.3">
      <c r="C477" s="117" t="s">
        <v>314</v>
      </c>
    </row>
    <row r="478" spans="3:3" x14ac:dyDescent="0.3">
      <c r="C478" s="117" t="s">
        <v>2740</v>
      </c>
    </row>
    <row r="479" spans="3:3" x14ac:dyDescent="0.3">
      <c r="C479" s="117" t="s">
        <v>266</v>
      </c>
    </row>
    <row r="480" spans="3:3" x14ac:dyDescent="0.3">
      <c r="C480" s="117" t="s">
        <v>266</v>
      </c>
    </row>
    <row r="481" spans="3:3" x14ac:dyDescent="0.3">
      <c r="C481" s="117" t="s">
        <v>313</v>
      </c>
    </row>
    <row r="482" spans="3:3" x14ac:dyDescent="0.3">
      <c r="C482" s="117" t="s">
        <v>2741</v>
      </c>
    </row>
    <row r="483" spans="3:3" x14ac:dyDescent="0.3">
      <c r="C483" s="117" t="s">
        <v>266</v>
      </c>
    </row>
    <row r="484" spans="3:3" x14ac:dyDescent="0.3">
      <c r="C484" s="117" t="s">
        <v>266</v>
      </c>
    </row>
    <row r="485" spans="3:3" x14ac:dyDescent="0.3">
      <c r="C485" s="117" t="s">
        <v>2742</v>
      </c>
    </row>
    <row r="486" spans="3:3" x14ac:dyDescent="0.3">
      <c r="C486" s="117" t="s">
        <v>2743</v>
      </c>
    </row>
    <row r="487" spans="3:3" x14ac:dyDescent="0.3">
      <c r="C487" s="117" t="s">
        <v>267</v>
      </c>
    </row>
    <row r="488" spans="3:3" x14ac:dyDescent="0.3">
      <c r="C488" s="117" t="s">
        <v>2744</v>
      </c>
    </row>
    <row r="489" spans="3:3" ht="28.8" x14ac:dyDescent="0.3">
      <c r="C489" s="117" t="s">
        <v>2745</v>
      </c>
    </row>
    <row r="490" spans="3:3" x14ac:dyDescent="0.3">
      <c r="C490" s="117" t="s">
        <v>2746</v>
      </c>
    </row>
    <row r="491" spans="3:3" x14ac:dyDescent="0.3">
      <c r="C491" s="117" t="s">
        <v>2747</v>
      </c>
    </row>
    <row r="492" spans="3:3" x14ac:dyDescent="0.3">
      <c r="C492" s="117" t="s">
        <v>2387</v>
      </c>
    </row>
    <row r="493" spans="3:3" x14ac:dyDescent="0.3">
      <c r="C493" s="117" t="s">
        <v>2748</v>
      </c>
    </row>
    <row r="494" spans="3:3" x14ac:dyDescent="0.3">
      <c r="C494" s="117" t="s">
        <v>318</v>
      </c>
    </row>
    <row r="495" spans="3:3" x14ac:dyDescent="0.3">
      <c r="C495" s="117" t="s">
        <v>267</v>
      </c>
    </row>
    <row r="496" spans="3:3" x14ac:dyDescent="0.3">
      <c r="C496" s="117" t="s">
        <v>2749</v>
      </c>
    </row>
    <row r="497" spans="3:3" x14ac:dyDescent="0.3">
      <c r="C497" s="117" t="s">
        <v>267</v>
      </c>
    </row>
    <row r="498" spans="3:3" x14ac:dyDescent="0.3">
      <c r="C498" s="117" t="s">
        <v>2467</v>
      </c>
    </row>
    <row r="499" spans="3:3" x14ac:dyDescent="0.3">
      <c r="C499" s="117" t="s">
        <v>266</v>
      </c>
    </row>
    <row r="500" spans="3:3" x14ac:dyDescent="0.3">
      <c r="C500" s="117" t="s">
        <v>2383</v>
      </c>
    </row>
    <row r="501" spans="3:3" x14ac:dyDescent="0.3">
      <c r="C501" s="117" t="s">
        <v>2750</v>
      </c>
    </row>
    <row r="502" spans="3:3" x14ac:dyDescent="0.3">
      <c r="C502" s="117" t="s">
        <v>263</v>
      </c>
    </row>
    <row r="503" spans="3:3" x14ac:dyDescent="0.3">
      <c r="C503" s="117" t="s">
        <v>2424</v>
      </c>
    </row>
    <row r="504" spans="3:3" x14ac:dyDescent="0.3">
      <c r="C504" s="117" t="s">
        <v>2425</v>
      </c>
    </row>
    <row r="505" spans="3:3" x14ac:dyDescent="0.3">
      <c r="C505" s="117" t="s">
        <v>2751</v>
      </c>
    </row>
    <row r="506" spans="3:3" x14ac:dyDescent="0.3">
      <c r="C506" s="117" t="s">
        <v>2752</v>
      </c>
    </row>
    <row r="507" spans="3:3" x14ac:dyDescent="0.3">
      <c r="C507" s="117" t="s">
        <v>2753</v>
      </c>
    </row>
    <row r="508" spans="3:3" x14ac:dyDescent="0.3">
      <c r="C508" s="117" t="s">
        <v>2427</v>
      </c>
    </row>
    <row r="509" spans="3:3" x14ac:dyDescent="0.3">
      <c r="C509" s="117" t="s">
        <v>263</v>
      </c>
    </row>
    <row r="510" spans="3:3" x14ac:dyDescent="0.3">
      <c r="C510" s="117" t="s">
        <v>2428</v>
      </c>
    </row>
    <row r="511" spans="3:3" x14ac:dyDescent="0.3">
      <c r="C511" s="117" t="s">
        <v>2429</v>
      </c>
    </row>
    <row r="512" spans="3:3" x14ac:dyDescent="0.3">
      <c r="C512" s="117" t="s">
        <v>2430</v>
      </c>
    </row>
    <row r="513" spans="3:3" x14ac:dyDescent="0.3">
      <c r="C513" s="117" t="s">
        <v>2431</v>
      </c>
    </row>
    <row r="514" spans="3:3" x14ac:dyDescent="0.3">
      <c r="C514" s="117" t="s">
        <v>2432</v>
      </c>
    </row>
    <row r="515" spans="3:3" x14ac:dyDescent="0.3">
      <c r="C515" s="117" t="s">
        <v>2433</v>
      </c>
    </row>
    <row r="516" spans="3:3" x14ac:dyDescent="0.3">
      <c r="C516" s="117" t="s">
        <v>2434</v>
      </c>
    </row>
    <row r="517" spans="3:3" x14ac:dyDescent="0.3">
      <c r="C517" s="117" t="s">
        <v>2435</v>
      </c>
    </row>
    <row r="518" spans="3:3" x14ac:dyDescent="0.3">
      <c r="C518" s="117" t="s">
        <v>2436</v>
      </c>
    </row>
    <row r="519" spans="3:3" x14ac:dyDescent="0.3">
      <c r="C519" s="117" t="s">
        <v>2437</v>
      </c>
    </row>
    <row r="520" spans="3:3" x14ac:dyDescent="0.3">
      <c r="C520" s="117" t="s">
        <v>2754</v>
      </c>
    </row>
    <row r="521" spans="3:3" x14ac:dyDescent="0.3">
      <c r="C521" s="117" t="s">
        <v>2755</v>
      </c>
    </row>
    <row r="522" spans="3:3" x14ac:dyDescent="0.3">
      <c r="C522" s="117" t="s">
        <v>2607</v>
      </c>
    </row>
    <row r="523" spans="3:3" x14ac:dyDescent="0.3">
      <c r="C523" s="117" t="s">
        <v>2609</v>
      </c>
    </row>
    <row r="524" spans="3:3" x14ac:dyDescent="0.3">
      <c r="C524" s="117" t="s">
        <v>2610</v>
      </c>
    </row>
    <row r="525" spans="3:3" x14ac:dyDescent="0.3">
      <c r="C525" s="117" t="s">
        <v>2611</v>
      </c>
    </row>
    <row r="526" spans="3:3" x14ac:dyDescent="0.3">
      <c r="C526" s="117" t="s">
        <v>263</v>
      </c>
    </row>
    <row r="527" spans="3:3" x14ac:dyDescent="0.3">
      <c r="C527" s="117" t="s">
        <v>263</v>
      </c>
    </row>
    <row r="528" spans="3:3" x14ac:dyDescent="0.3">
      <c r="C528" s="117" t="s">
        <v>2438</v>
      </c>
    </row>
    <row r="529" spans="3:3" x14ac:dyDescent="0.3">
      <c r="C529" s="117" t="s">
        <v>2439</v>
      </c>
    </row>
    <row r="530" spans="3:3" x14ac:dyDescent="0.3">
      <c r="C530" s="117" t="s">
        <v>2625</v>
      </c>
    </row>
    <row r="531" spans="3:3" x14ac:dyDescent="0.3">
      <c r="C531" s="117" t="s">
        <v>2626</v>
      </c>
    </row>
    <row r="532" spans="3:3" x14ac:dyDescent="0.3">
      <c r="C532" s="117" t="s">
        <v>2627</v>
      </c>
    </row>
    <row r="533" spans="3:3" x14ac:dyDescent="0.3">
      <c r="C533" s="117" t="s">
        <v>263</v>
      </c>
    </row>
    <row r="534" spans="3:3" x14ac:dyDescent="0.3">
      <c r="C534" s="117" t="s">
        <v>263</v>
      </c>
    </row>
    <row r="535" spans="3:3" x14ac:dyDescent="0.3">
      <c r="C535" s="117" t="s">
        <v>2440</v>
      </c>
    </row>
    <row r="536" spans="3:3" x14ac:dyDescent="0.3">
      <c r="C536" s="117" t="s">
        <v>2756</v>
      </c>
    </row>
    <row r="537" spans="3:3" x14ac:dyDescent="0.3">
      <c r="C537" s="117" t="s">
        <v>2757</v>
      </c>
    </row>
    <row r="538" spans="3:3" x14ac:dyDescent="0.3">
      <c r="C538" s="117" t="s">
        <v>2758</v>
      </c>
    </row>
    <row r="539" spans="3:3" x14ac:dyDescent="0.3">
      <c r="C539" s="117" t="s">
        <v>2759</v>
      </c>
    </row>
    <row r="540" spans="3:3" x14ac:dyDescent="0.3">
      <c r="C540" s="117" t="s">
        <v>2760</v>
      </c>
    </row>
    <row r="541" spans="3:3" x14ac:dyDescent="0.3">
      <c r="C541" s="117" t="s">
        <v>266</v>
      </c>
    </row>
    <row r="542" spans="3:3" x14ac:dyDescent="0.3">
      <c r="C542" s="117" t="s">
        <v>2761</v>
      </c>
    </row>
    <row r="543" spans="3:3" x14ac:dyDescent="0.3">
      <c r="C543" s="117" t="s">
        <v>2762</v>
      </c>
    </row>
    <row r="544" spans="3:3" x14ac:dyDescent="0.3">
      <c r="C544" s="117" t="s">
        <v>2321</v>
      </c>
    </row>
    <row r="545" spans="3:3" x14ac:dyDescent="0.3">
      <c r="C545" s="117" t="s">
        <v>2763</v>
      </c>
    </row>
    <row r="546" spans="3:3" x14ac:dyDescent="0.3">
      <c r="C546" s="117" t="s">
        <v>319</v>
      </c>
    </row>
    <row r="547" spans="3:3" x14ac:dyDescent="0.3">
      <c r="C547" s="117" t="s">
        <v>2537</v>
      </c>
    </row>
    <row r="548" spans="3:3" x14ac:dyDescent="0.3">
      <c r="C548" s="117" t="s">
        <v>2793</v>
      </c>
    </row>
    <row r="549" spans="3:3" x14ac:dyDescent="0.3">
      <c r="C549" s="117" t="s">
        <v>2794</v>
      </c>
    </row>
    <row r="550" spans="3:3" x14ac:dyDescent="0.3">
      <c r="C550" s="117" t="s">
        <v>2764</v>
      </c>
    </row>
    <row r="551" spans="3:3" x14ac:dyDescent="0.3">
      <c r="C551" s="117" t="s">
        <v>266</v>
      </c>
    </row>
    <row r="552" spans="3:3" ht="28.8" x14ac:dyDescent="0.3">
      <c r="C552" s="117" t="s">
        <v>2765</v>
      </c>
    </row>
    <row r="553" spans="3:3" x14ac:dyDescent="0.3">
      <c r="C553" s="117" t="s">
        <v>2632</v>
      </c>
    </row>
    <row r="554" spans="3:3" x14ac:dyDescent="0.3">
      <c r="C554" s="117" t="s">
        <v>2633</v>
      </c>
    </row>
    <row r="555" spans="3:3" x14ac:dyDescent="0.3">
      <c r="C555" s="117" t="s">
        <v>271</v>
      </c>
    </row>
    <row r="556" spans="3:3" x14ac:dyDescent="0.3">
      <c r="C556" s="117" t="s">
        <v>2642</v>
      </c>
    </row>
    <row r="557" spans="3:3" x14ac:dyDescent="0.3">
      <c r="C557" s="117" t="s">
        <v>2795</v>
      </c>
    </row>
    <row r="558" spans="3:3" x14ac:dyDescent="0.3">
      <c r="C558" s="117" t="s">
        <v>2387</v>
      </c>
    </row>
    <row r="559" spans="3:3" x14ac:dyDescent="0.3">
      <c r="C559" s="117" t="s">
        <v>2796</v>
      </c>
    </row>
    <row r="560" spans="3:3" x14ac:dyDescent="0.3">
      <c r="C560" s="117" t="s">
        <v>318</v>
      </c>
    </row>
    <row r="561" spans="3:3" x14ac:dyDescent="0.3">
      <c r="C561" s="117" t="s">
        <v>2784</v>
      </c>
    </row>
    <row r="562" spans="3:3" x14ac:dyDescent="0.3">
      <c r="C562" s="117" t="s">
        <v>2797</v>
      </c>
    </row>
    <row r="563" spans="3:3" x14ac:dyDescent="0.3">
      <c r="C563" s="117" t="s">
        <v>2798</v>
      </c>
    </row>
    <row r="564" spans="3:3" x14ac:dyDescent="0.3">
      <c r="C564" s="117" t="s">
        <v>322</v>
      </c>
    </row>
    <row r="565" spans="3:3" x14ac:dyDescent="0.3">
      <c r="C565" s="117" t="s">
        <v>2766</v>
      </c>
    </row>
    <row r="567" spans="3:3" x14ac:dyDescent="0.3">
      <c r="C567" s="117" t="s">
        <v>263</v>
      </c>
    </row>
    <row r="568" spans="3:3" x14ac:dyDescent="0.3">
      <c r="C568" s="117" t="s">
        <v>2442</v>
      </c>
    </row>
    <row r="569" spans="3:3" x14ac:dyDescent="0.3">
      <c r="C569" s="117" t="s">
        <v>263</v>
      </c>
    </row>
    <row r="570" spans="3:3" x14ac:dyDescent="0.3">
      <c r="C570" s="117" t="s">
        <v>263</v>
      </c>
    </row>
    <row r="571" spans="3:3" x14ac:dyDescent="0.3">
      <c r="C571" s="117" t="s">
        <v>2767</v>
      </c>
    </row>
    <row r="572" spans="3:3" x14ac:dyDescent="0.3">
      <c r="C572" s="117" t="s">
        <v>263</v>
      </c>
    </row>
    <row r="573" spans="3:3" x14ac:dyDescent="0.3">
      <c r="C573" s="117" t="s">
        <v>2538</v>
      </c>
    </row>
    <row r="574" spans="3:3" x14ac:dyDescent="0.3">
      <c r="C574" s="117" t="s">
        <v>2443</v>
      </c>
    </row>
    <row r="575" spans="3:3" x14ac:dyDescent="0.3">
      <c r="C575" s="117" t="s">
        <v>2444</v>
      </c>
    </row>
    <row r="576" spans="3:3" x14ac:dyDescent="0.3">
      <c r="C576" s="117" t="s">
        <v>2426</v>
      </c>
    </row>
    <row r="577" spans="3:3" x14ac:dyDescent="0.3">
      <c r="C577" s="117" t="s">
        <v>2427</v>
      </c>
    </row>
    <row r="579" spans="3:3" x14ac:dyDescent="0.3">
      <c r="C579" s="117" t="s">
        <v>263</v>
      </c>
    </row>
    <row r="580" spans="3:3" x14ac:dyDescent="0.3">
      <c r="C580" s="117" t="s">
        <v>263</v>
      </c>
    </row>
    <row r="581" spans="3:3" x14ac:dyDescent="0.3">
      <c r="C581" s="117" t="s">
        <v>263</v>
      </c>
    </row>
    <row r="582" spans="3:3" x14ac:dyDescent="0.3">
      <c r="C582" s="117" t="s">
        <v>263</v>
      </c>
    </row>
    <row r="583" spans="3:3" x14ac:dyDescent="0.3">
      <c r="C583" s="117" t="s">
        <v>2445</v>
      </c>
    </row>
    <row r="584" spans="3:3" x14ac:dyDescent="0.3">
      <c r="C584" s="117" t="s">
        <v>2429</v>
      </c>
    </row>
    <row r="585" spans="3:3" x14ac:dyDescent="0.3">
      <c r="C585" s="117" t="s">
        <v>2430</v>
      </c>
    </row>
    <row r="586" spans="3:3" x14ac:dyDescent="0.3">
      <c r="C586" s="117" t="s">
        <v>2435</v>
      </c>
    </row>
    <row r="587" spans="3:3" x14ac:dyDescent="0.3">
      <c r="C587" s="117" t="s">
        <v>2446</v>
      </c>
    </row>
    <row r="588" spans="3:3" x14ac:dyDescent="0.3">
      <c r="C588" s="117" t="s">
        <v>2431</v>
      </c>
    </row>
    <row r="589" spans="3:3" x14ac:dyDescent="0.3">
      <c r="C589" s="117" t="s">
        <v>2447</v>
      </c>
    </row>
    <row r="590" spans="3:3" x14ac:dyDescent="0.3">
      <c r="C590" s="117" t="s">
        <v>2448</v>
      </c>
    </row>
    <row r="591" spans="3:3" x14ac:dyDescent="0.3">
      <c r="C591" s="117" t="s">
        <v>2449</v>
      </c>
    </row>
    <row r="592" spans="3:3" x14ac:dyDescent="0.3">
      <c r="C592" s="117" t="s">
        <v>2436</v>
      </c>
    </row>
    <row r="593" spans="3:3" x14ac:dyDescent="0.3">
      <c r="C593" s="117" t="s">
        <v>2450</v>
      </c>
    </row>
    <row r="594" spans="3:3" x14ac:dyDescent="0.3">
      <c r="C594" s="117" t="s">
        <v>2451</v>
      </c>
    </row>
    <row r="595" spans="3:3" x14ac:dyDescent="0.3">
      <c r="C595" s="117" t="s">
        <v>2562</v>
      </c>
    </row>
    <row r="596" spans="3:3" x14ac:dyDescent="0.3">
      <c r="C596" s="117" t="s">
        <v>264</v>
      </c>
    </row>
    <row r="597" spans="3:3" x14ac:dyDescent="0.3">
      <c r="C597" s="118" t="s">
        <v>2452</v>
      </c>
    </row>
    <row r="598" spans="3:3" x14ac:dyDescent="0.3">
      <c r="C598" s="118" t="s">
        <v>2453</v>
      </c>
    </row>
    <row r="599" spans="3:3" x14ac:dyDescent="0.3">
      <c r="C599" s="118" t="s">
        <v>2454</v>
      </c>
    </row>
    <row r="600" spans="3:3" x14ac:dyDescent="0.3">
      <c r="C600" s="118" t="s">
        <v>2384</v>
      </c>
    </row>
    <row r="601" spans="3:3" x14ac:dyDescent="0.3">
      <c r="C601" s="118" t="s">
        <v>2385</v>
      </c>
    </row>
    <row r="602" spans="3:3" x14ac:dyDescent="0.3">
      <c r="C602" s="118" t="s">
        <v>2386</v>
      </c>
    </row>
    <row r="603" spans="3:3" x14ac:dyDescent="0.3">
      <c r="C603" s="118" t="s">
        <v>2387</v>
      </c>
    </row>
    <row r="604" spans="3:3" x14ac:dyDescent="0.3">
      <c r="C604" s="118" t="s">
        <v>318</v>
      </c>
    </row>
    <row r="605" spans="3:3" x14ac:dyDescent="0.3">
      <c r="C605" s="117" t="s">
        <v>266</v>
      </c>
    </row>
    <row r="606" spans="3:3" x14ac:dyDescent="0.3">
      <c r="C606" s="117" t="s">
        <v>266</v>
      </c>
    </row>
    <row r="607" spans="3:3" x14ac:dyDescent="0.3">
      <c r="C607" s="117" t="s">
        <v>2455</v>
      </c>
    </row>
    <row r="608" spans="3:3" x14ac:dyDescent="0.3">
      <c r="C608" s="117" t="s">
        <v>2456</v>
      </c>
    </row>
    <row r="609" spans="3:3" x14ac:dyDescent="0.3">
      <c r="C609" s="117" t="s">
        <v>2768</v>
      </c>
    </row>
    <row r="610" spans="3:3" x14ac:dyDescent="0.3">
      <c r="C610" s="117" t="s">
        <v>2621</v>
      </c>
    </row>
    <row r="611" spans="3:3" x14ac:dyDescent="0.3">
      <c r="C611" s="117" t="s">
        <v>269</v>
      </c>
    </row>
    <row r="612" spans="3:3" x14ac:dyDescent="0.3">
      <c r="C612" s="117" t="s">
        <v>269</v>
      </c>
    </row>
    <row r="613" spans="3:3" x14ac:dyDescent="0.3">
      <c r="C613" s="117" t="s">
        <v>2457</v>
      </c>
    </row>
    <row r="614" spans="3:3" x14ac:dyDescent="0.3">
      <c r="C614" s="117" t="s">
        <v>2458</v>
      </c>
    </row>
    <row r="615" spans="3:3" x14ac:dyDescent="0.3">
      <c r="C615" s="117" t="s">
        <v>2459</v>
      </c>
    </row>
    <row r="616" spans="3:3" x14ac:dyDescent="0.3">
      <c r="C616" s="117" t="s">
        <v>2460</v>
      </c>
    </row>
    <row r="617" spans="3:3" x14ac:dyDescent="0.3">
      <c r="C617" s="117" t="s">
        <v>2461</v>
      </c>
    </row>
    <row r="618" spans="3:3" x14ac:dyDescent="0.3">
      <c r="C618" s="117" t="s">
        <v>2769</v>
      </c>
    </row>
    <row r="619" spans="3:3" x14ac:dyDescent="0.3">
      <c r="C619" s="117" t="s">
        <v>266</v>
      </c>
    </row>
    <row r="620" spans="3:3" x14ac:dyDescent="0.3">
      <c r="C620" s="117" t="s">
        <v>2770</v>
      </c>
    </row>
    <row r="621" spans="3:3" x14ac:dyDescent="0.3">
      <c r="C621" s="117" t="s">
        <v>2771</v>
      </c>
    </row>
    <row r="622" spans="3:3" x14ac:dyDescent="0.3">
      <c r="C622" s="117" t="s">
        <v>2772</v>
      </c>
    </row>
    <row r="623" spans="3:3" x14ac:dyDescent="0.3">
      <c r="C623" s="117" t="s">
        <v>2773</v>
      </c>
    </row>
    <row r="624" spans="3:3" x14ac:dyDescent="0.3">
      <c r="C624" s="117" t="s">
        <v>266</v>
      </c>
    </row>
    <row r="625" spans="3:3" x14ac:dyDescent="0.3">
      <c r="C625" s="117" t="s">
        <v>266</v>
      </c>
    </row>
    <row r="626" spans="3:3" x14ac:dyDescent="0.3">
      <c r="C626" s="117" t="s">
        <v>266</v>
      </c>
    </row>
    <row r="627" spans="3:3" x14ac:dyDescent="0.3">
      <c r="C627" s="117" t="s">
        <v>266</v>
      </c>
    </row>
    <row r="628" spans="3:3" x14ac:dyDescent="0.3">
      <c r="C628" s="117" t="s">
        <v>266</v>
      </c>
    </row>
    <row r="629" spans="3:3" x14ac:dyDescent="0.3">
      <c r="C629" s="117" t="s">
        <v>2774</v>
      </c>
    </row>
    <row r="630" spans="3:3" x14ac:dyDescent="0.3">
      <c r="C630" s="117" t="s">
        <v>2462</v>
      </c>
    </row>
    <row r="631" spans="3:3" x14ac:dyDescent="0.3">
      <c r="C631" s="117" t="s">
        <v>2463</v>
      </c>
    </row>
    <row r="632" spans="3:3" x14ac:dyDescent="0.3">
      <c r="C632" s="117" t="s">
        <v>2563</v>
      </c>
    </row>
    <row r="633" spans="3:3" x14ac:dyDescent="0.3">
      <c r="C633" s="117" t="s">
        <v>2775</v>
      </c>
    </row>
    <row r="634" spans="3:3" x14ac:dyDescent="0.3">
      <c r="C634" s="117" t="s">
        <v>2799</v>
      </c>
    </row>
    <row r="635" spans="3:3" x14ac:dyDescent="0.3">
      <c r="C635" s="117" t="s">
        <v>275</v>
      </c>
    </row>
    <row r="636" spans="3:3" x14ac:dyDescent="0.3">
      <c r="C636" s="117" t="s">
        <v>2776</v>
      </c>
    </row>
    <row r="637" spans="3:3" x14ac:dyDescent="0.3">
      <c r="C637" s="117" t="s">
        <v>2777</v>
      </c>
    </row>
    <row r="638" spans="3:3" x14ac:dyDescent="0.3">
      <c r="C638" s="117" t="s">
        <v>2778</v>
      </c>
    </row>
    <row r="639" spans="3:3" x14ac:dyDescent="0.3">
      <c r="C639" s="117" t="s">
        <v>2800</v>
      </c>
    </row>
    <row r="640" spans="3:3" x14ac:dyDescent="0.3">
      <c r="C640" s="117" t="s">
        <v>2801</v>
      </c>
    </row>
    <row r="641" spans="3:3" x14ac:dyDescent="0.3">
      <c r="C641" s="117" t="s">
        <v>2802</v>
      </c>
    </row>
    <row r="642" spans="3:3" x14ac:dyDescent="0.3">
      <c r="C642" s="117" t="s">
        <v>2803</v>
      </c>
    </row>
    <row r="643" spans="3:3" x14ac:dyDescent="0.3">
      <c r="C643" s="117" t="s">
        <v>2804</v>
      </c>
    </row>
    <row r="644" spans="3:3" x14ac:dyDescent="0.3">
      <c r="C644" s="117" t="s">
        <v>2805</v>
      </c>
    </row>
    <row r="645" spans="3:3" x14ac:dyDescent="0.3">
      <c r="C645" s="117" t="s">
        <v>2806</v>
      </c>
    </row>
    <row r="646" spans="3:3" x14ac:dyDescent="0.3">
      <c r="C646" s="117" t="s">
        <v>2807</v>
      </c>
    </row>
    <row r="647" spans="3:3" x14ac:dyDescent="0.3">
      <c r="C647" s="117" t="s">
        <v>2808</v>
      </c>
    </row>
    <row r="648" spans="3:3" x14ac:dyDescent="0.3">
      <c r="C648" s="117" t="s">
        <v>2779</v>
      </c>
    </row>
    <row r="649" spans="3:3" x14ac:dyDescent="0.3">
      <c r="C649" s="117" t="s">
        <v>2355</v>
      </c>
    </row>
    <row r="650" spans="3:3" x14ac:dyDescent="0.3">
      <c r="C650" s="117" t="s">
        <v>2780</v>
      </c>
    </row>
    <row r="651" spans="3:3" x14ac:dyDescent="0.3">
      <c r="C651" s="117" t="s">
        <v>2809</v>
      </c>
    </row>
    <row r="652" spans="3:3" x14ac:dyDescent="0.3">
      <c r="C652" s="117" t="s">
        <v>2355</v>
      </c>
    </row>
    <row r="653" spans="3:3" x14ac:dyDescent="0.3">
      <c r="C653" s="117" t="s">
        <v>2781</v>
      </c>
    </row>
    <row r="654" spans="3:3" x14ac:dyDescent="0.3">
      <c r="C654" s="117" t="s">
        <v>2810</v>
      </c>
    </row>
    <row r="655" spans="3:3" ht="28.8" x14ac:dyDescent="0.3">
      <c r="C655" s="117" t="s">
        <v>2811</v>
      </c>
    </row>
    <row r="656" spans="3:3" x14ac:dyDescent="0.3">
      <c r="C656" s="117" t="s">
        <v>2812</v>
      </c>
    </row>
    <row r="657" spans="3:3" x14ac:dyDescent="0.3">
      <c r="C657" s="117" t="s">
        <v>2813</v>
      </c>
    </row>
    <row r="658" spans="3:3" x14ac:dyDescent="0.3">
      <c r="C658" s="117" t="s">
        <v>2355</v>
      </c>
    </row>
    <row r="659" spans="3:3" x14ac:dyDescent="0.3">
      <c r="C659" s="117" t="s">
        <v>2355</v>
      </c>
    </row>
    <row r="660" spans="3:3" x14ac:dyDescent="0.3">
      <c r="C660" s="117" t="s">
        <v>2782</v>
      </c>
    </row>
    <row r="661" spans="3:3" ht="28.8" x14ac:dyDescent="0.3">
      <c r="C661" s="117" t="s">
        <v>2783</v>
      </c>
    </row>
    <row r="662" spans="3:3" x14ac:dyDescent="0.3">
      <c r="C662" s="117" t="s">
        <v>2387</v>
      </c>
    </row>
    <row r="663" spans="3:3" x14ac:dyDescent="0.3">
      <c r="C663" s="117" t="s">
        <v>318</v>
      </c>
    </row>
    <row r="664" spans="3:3" x14ac:dyDescent="0.3">
      <c r="C664" s="117" t="s">
        <v>2441</v>
      </c>
    </row>
    <row r="665" spans="3:3" x14ac:dyDescent="0.3">
      <c r="C665" s="117" t="s">
        <v>2464</v>
      </c>
    </row>
    <row r="666" spans="3:3" x14ac:dyDescent="0.3">
      <c r="C666" s="117" t="s">
        <v>272</v>
      </c>
    </row>
    <row r="667" spans="3:3" x14ac:dyDescent="0.3">
      <c r="C667" s="117" t="s">
        <v>2784</v>
      </c>
    </row>
    <row r="668" spans="3:3" x14ac:dyDescent="0.3">
      <c r="C668" s="117" t="s">
        <v>2422</v>
      </c>
    </row>
    <row r="669" spans="3:3" x14ac:dyDescent="0.3">
      <c r="C669" s="117" t="s">
        <v>263</v>
      </c>
    </row>
    <row r="670" spans="3:3" ht="28.8" x14ac:dyDescent="0.3">
      <c r="C670" s="117" t="s">
        <v>2465</v>
      </c>
    </row>
    <row r="671" spans="3:3" x14ac:dyDescent="0.3">
      <c r="C671" s="118" t="s">
        <v>276</v>
      </c>
    </row>
    <row r="672" spans="3:3" x14ac:dyDescent="0.3">
      <c r="C672" s="118" t="s">
        <v>322</v>
      </c>
    </row>
    <row r="673" spans="3:3" x14ac:dyDescent="0.3">
      <c r="C673" s="117" t="s">
        <v>266</v>
      </c>
    </row>
    <row r="674" spans="3:3" x14ac:dyDescent="0.3">
      <c r="C674" s="117" t="s">
        <v>2466</v>
      </c>
    </row>
    <row r="675" spans="3:3" x14ac:dyDescent="0.3">
      <c r="C675" s="117" t="s">
        <v>2785</v>
      </c>
    </row>
    <row r="676" spans="3:3" x14ac:dyDescent="0.3">
      <c r="C676" s="117" t="s">
        <v>266</v>
      </c>
    </row>
    <row r="677" spans="3:3" x14ac:dyDescent="0.3">
      <c r="C677" s="117" t="s">
        <v>2564</v>
      </c>
    </row>
    <row r="678" spans="3:3" x14ac:dyDescent="0.3">
      <c r="C678" s="117" t="s">
        <v>2381</v>
      </c>
    </row>
    <row r="679" spans="3:3" x14ac:dyDescent="0.3">
      <c r="C679" s="117" t="s">
        <v>2565</v>
      </c>
    </row>
    <row r="680" spans="3:3" x14ac:dyDescent="0.3">
      <c r="C680" s="117" t="s">
        <v>2382</v>
      </c>
    </row>
    <row r="681" spans="3:3" x14ac:dyDescent="0.3">
      <c r="C681" s="117" t="s">
        <v>2383</v>
      </c>
    </row>
    <row r="682" spans="3:3" x14ac:dyDescent="0.3">
      <c r="C682" s="117" t="s">
        <v>266</v>
      </c>
    </row>
    <row r="683" spans="3:3" x14ac:dyDescent="0.3">
      <c r="C683" s="117" t="s">
        <v>266</v>
      </c>
    </row>
    <row r="684" spans="3:3" x14ac:dyDescent="0.3">
      <c r="C684" s="117" t="s">
        <v>266</v>
      </c>
    </row>
    <row r="685" spans="3:3" x14ac:dyDescent="0.3">
      <c r="C685" s="117" t="s">
        <v>2467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13"/>
  <sheetViews>
    <sheetView workbookViewId="0">
      <pane ySplit="1" topLeftCell="A2" activePane="bottomLeft" state="frozen"/>
      <selection pane="bottomLeft" activeCell="A9" sqref="A9:G9"/>
    </sheetView>
  </sheetViews>
  <sheetFormatPr defaultRowHeight="14.4" x14ac:dyDescent="0.3"/>
  <cols>
    <col min="1" max="1" width="20.77734375" customWidth="1"/>
    <col min="2" max="3" width="5.77734375" customWidth="1"/>
    <col min="4" max="4" width="30.77734375" style="7" customWidth="1"/>
    <col min="5" max="5" width="25.77734375" style="7" customWidth="1"/>
    <col min="6" max="6" width="17.77734375" customWidth="1"/>
    <col min="7" max="7" width="15.77734375" customWidth="1"/>
    <col min="8" max="8" width="15.5546875" customWidth="1"/>
  </cols>
  <sheetData>
    <row r="1" spans="1:25" ht="21" x14ac:dyDescent="0.4">
      <c r="A1" s="14" t="s">
        <v>3099</v>
      </c>
      <c r="B1" s="11"/>
      <c r="C1" s="11"/>
      <c r="D1" s="16"/>
      <c r="E1" s="18"/>
      <c r="F1" s="13"/>
      <c r="G1" s="13"/>
      <c r="H1" s="13"/>
      <c r="Y1">
        <v>7</v>
      </c>
    </row>
    <row r="2" spans="1:25" ht="15.6" x14ac:dyDescent="0.3">
      <c r="A2" s="15" t="s">
        <v>3083</v>
      </c>
      <c r="B2" s="12"/>
      <c r="C2" s="12"/>
      <c r="D2" s="16" t="s">
        <v>3084</v>
      </c>
      <c r="E2" s="16" t="s">
        <v>3085</v>
      </c>
      <c r="F2" s="12" t="s">
        <v>3086</v>
      </c>
    </row>
    <row r="3" spans="1:25" ht="15.6" x14ac:dyDescent="0.3">
      <c r="A3" s="2" t="s">
        <v>2571</v>
      </c>
      <c r="B3" s="2"/>
      <c r="C3" s="2"/>
      <c r="D3" s="17">
        <v>474</v>
      </c>
      <c r="E3" s="17">
        <v>24</v>
      </c>
      <c r="F3" s="2" t="s">
        <v>239</v>
      </c>
      <c r="X3">
        <v>475</v>
      </c>
      <c r="Y3">
        <v>498</v>
      </c>
    </row>
    <row r="4" spans="1:25" ht="15.6" x14ac:dyDescent="0.3">
      <c r="A4" s="2" t="s">
        <v>435</v>
      </c>
      <c r="B4" s="2"/>
      <c r="C4" s="2"/>
      <c r="D4" s="17">
        <v>168</v>
      </c>
      <c r="E4" s="17">
        <v>128</v>
      </c>
      <c r="F4" s="2" t="s">
        <v>239</v>
      </c>
      <c r="X4">
        <v>169</v>
      </c>
      <c r="Y4">
        <v>296</v>
      </c>
    </row>
    <row r="5" spans="1:25" ht="15.6" x14ac:dyDescent="0.3">
      <c r="A5" s="2" t="s">
        <v>2540</v>
      </c>
      <c r="B5" s="2"/>
      <c r="C5" s="2"/>
      <c r="D5" s="17">
        <v>568</v>
      </c>
      <c r="E5" s="17">
        <v>117</v>
      </c>
      <c r="F5" s="2" t="s">
        <v>239</v>
      </c>
      <c r="X5">
        <v>569</v>
      </c>
      <c r="Y5">
        <v>685</v>
      </c>
    </row>
    <row r="6" spans="1:25" ht="15.6" x14ac:dyDescent="0.3">
      <c r="A6" s="2" t="s">
        <v>2572</v>
      </c>
      <c r="B6" s="2"/>
      <c r="C6" s="2"/>
      <c r="D6" s="17">
        <v>498</v>
      </c>
      <c r="E6" s="17">
        <v>70</v>
      </c>
      <c r="F6" s="2" t="s">
        <v>239</v>
      </c>
      <c r="X6">
        <v>499</v>
      </c>
      <c r="Y6">
        <v>568</v>
      </c>
    </row>
    <row r="7" spans="1:25" ht="15.6" x14ac:dyDescent="0.3">
      <c r="A7" s="2" t="s">
        <v>2569</v>
      </c>
      <c r="B7" s="2"/>
      <c r="C7" s="2"/>
      <c r="D7" s="17">
        <v>132</v>
      </c>
      <c r="E7" s="17">
        <v>36</v>
      </c>
      <c r="F7" s="2" t="s">
        <v>235</v>
      </c>
      <c r="X7">
        <v>133</v>
      </c>
      <c r="Y7">
        <v>168</v>
      </c>
    </row>
    <row r="8" spans="1:25" ht="15.6" x14ac:dyDescent="0.3">
      <c r="A8" s="2" t="s">
        <v>325</v>
      </c>
      <c r="B8" s="2"/>
      <c r="C8" s="2"/>
      <c r="D8" s="17">
        <v>1</v>
      </c>
      <c r="E8" s="17">
        <v>131</v>
      </c>
      <c r="F8" s="2" t="s">
        <v>235</v>
      </c>
      <c r="X8">
        <v>2</v>
      </c>
      <c r="Y8">
        <v>132</v>
      </c>
    </row>
    <row r="9" spans="1:25" s="5" customFormat="1" ht="15.6" x14ac:dyDescent="0.3">
      <c r="A9" s="122" t="s">
        <v>2570</v>
      </c>
      <c r="B9" s="122"/>
      <c r="C9" s="122"/>
      <c r="D9" s="123">
        <v>296</v>
      </c>
      <c r="E9" s="123">
        <v>178</v>
      </c>
      <c r="F9" s="122" t="s">
        <v>235</v>
      </c>
      <c r="X9" s="5">
        <v>297</v>
      </c>
      <c r="Y9" s="5">
        <v>474</v>
      </c>
    </row>
    <row r="10" spans="1:25" ht="15.6" x14ac:dyDescent="0.3">
      <c r="A10" s="2"/>
      <c r="B10" s="2"/>
      <c r="C10" s="2"/>
      <c r="D10" s="17"/>
      <c r="E10" s="17"/>
      <c r="F10" s="2"/>
      <c r="X10">
        <v>1</v>
      </c>
      <c r="Y10">
        <v>0</v>
      </c>
    </row>
    <row r="11" spans="1:25" ht="15.6" x14ac:dyDescent="0.3">
      <c r="A11" s="2"/>
      <c r="B11" s="2"/>
      <c r="C11" s="2"/>
      <c r="D11" s="17"/>
      <c r="E11" s="17"/>
      <c r="F11" s="2"/>
    </row>
    <row r="12" spans="1:25" s="5" customFormat="1" ht="15.6" x14ac:dyDescent="0.3">
      <c r="A12" s="12" t="s">
        <v>3087</v>
      </c>
      <c r="B12" s="12"/>
      <c r="C12" s="12"/>
      <c r="D12" s="16" t="s">
        <v>3089</v>
      </c>
      <c r="E12" s="16" t="s">
        <v>3088</v>
      </c>
      <c r="F12" s="12"/>
    </row>
    <row r="13" spans="1:25" ht="15.6" x14ac:dyDescent="0.3">
      <c r="A13" s="2"/>
      <c r="B13" s="2"/>
      <c r="C13" s="2"/>
      <c r="D13" s="17"/>
      <c r="E13" s="17"/>
      <c r="F13" s="2"/>
    </row>
  </sheetData>
  <pageMargins left="0.25" right="0.25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64"/>
  <sheetViews>
    <sheetView topLeftCell="A135" workbookViewId="0">
      <selection activeCell="A165" sqref="A165"/>
    </sheetView>
  </sheetViews>
  <sheetFormatPr defaultRowHeight="14.4" x14ac:dyDescent="0.3"/>
  <cols>
    <col min="1" max="1" width="12.21875" customWidth="1"/>
  </cols>
  <sheetData>
    <row r="1" spans="1:2" x14ac:dyDescent="0.3">
      <c r="A1" s="1">
        <v>42389</v>
      </c>
      <c r="B1" t="s">
        <v>0</v>
      </c>
    </row>
    <row r="2" spans="1:2" x14ac:dyDescent="0.3">
      <c r="B2" t="s">
        <v>1</v>
      </c>
    </row>
    <row r="3" spans="1:2" x14ac:dyDescent="0.3">
      <c r="B3" t="s">
        <v>2</v>
      </c>
    </row>
    <row r="5" spans="1:2" x14ac:dyDescent="0.3">
      <c r="A5" s="1">
        <v>42405</v>
      </c>
      <c r="B5" t="s">
        <v>3</v>
      </c>
    </row>
    <row r="6" spans="1:2" x14ac:dyDescent="0.3">
      <c r="B6" t="s">
        <v>4</v>
      </c>
    </row>
    <row r="7" spans="1:2" x14ac:dyDescent="0.3">
      <c r="B7" t="s">
        <v>5</v>
      </c>
    </row>
    <row r="9" spans="1:2" x14ac:dyDescent="0.3">
      <c r="B9" t="s">
        <v>6</v>
      </c>
    </row>
    <row r="10" spans="1:2" x14ac:dyDescent="0.3">
      <c r="B10" t="s">
        <v>7</v>
      </c>
    </row>
    <row r="12" spans="1:2" x14ac:dyDescent="0.3">
      <c r="A12" s="1">
        <v>42406</v>
      </c>
      <c r="B12" t="s">
        <v>9</v>
      </c>
    </row>
    <row r="13" spans="1:2" x14ac:dyDescent="0.3">
      <c r="B13" t="s">
        <v>10</v>
      </c>
    </row>
    <row r="14" spans="1:2" x14ac:dyDescent="0.3">
      <c r="B14" t="s">
        <v>11</v>
      </c>
    </row>
    <row r="15" spans="1:2" x14ac:dyDescent="0.3">
      <c r="B15" t="s">
        <v>12</v>
      </c>
    </row>
    <row r="17" spans="1:2" x14ac:dyDescent="0.3">
      <c r="B17" t="s">
        <v>13</v>
      </c>
    </row>
    <row r="18" spans="1:2" x14ac:dyDescent="0.3">
      <c r="B18" t="s">
        <v>14</v>
      </c>
    </row>
    <row r="20" spans="1:2" x14ac:dyDescent="0.3">
      <c r="B20" t="s">
        <v>17</v>
      </c>
    </row>
    <row r="21" spans="1:2" x14ac:dyDescent="0.3">
      <c r="B21" t="s">
        <v>18</v>
      </c>
    </row>
    <row r="23" spans="1:2" x14ac:dyDescent="0.3">
      <c r="A23" s="1">
        <v>42407</v>
      </c>
      <c r="B23" t="s">
        <v>19</v>
      </c>
    </row>
    <row r="24" spans="1:2" x14ac:dyDescent="0.3">
      <c r="B24" t="s">
        <v>20</v>
      </c>
    </row>
    <row r="25" spans="1:2" x14ac:dyDescent="0.3">
      <c r="A25" s="1">
        <v>42408</v>
      </c>
      <c r="B25" t="s">
        <v>22</v>
      </c>
    </row>
    <row r="26" spans="1:2" x14ac:dyDescent="0.3">
      <c r="B26" t="s">
        <v>23</v>
      </c>
    </row>
    <row r="27" spans="1:2" x14ac:dyDescent="0.3">
      <c r="B27" t="s">
        <v>24</v>
      </c>
    </row>
    <row r="29" spans="1:2" x14ac:dyDescent="0.3">
      <c r="B29" t="s">
        <v>25</v>
      </c>
    </row>
    <row r="30" spans="1:2" x14ac:dyDescent="0.3">
      <c r="B30" t="s">
        <v>26</v>
      </c>
    </row>
    <row r="31" spans="1:2" x14ac:dyDescent="0.3">
      <c r="A31" s="1">
        <v>42409</v>
      </c>
      <c r="B31" t="s">
        <v>30</v>
      </c>
    </row>
    <row r="32" spans="1:2" x14ac:dyDescent="0.3">
      <c r="B32" t="s">
        <v>31</v>
      </c>
    </row>
    <row r="33" spans="1:2" x14ac:dyDescent="0.3">
      <c r="A33" s="1">
        <v>42410</v>
      </c>
      <c r="B33" t="s">
        <v>32</v>
      </c>
    </row>
    <row r="34" spans="1:2" x14ac:dyDescent="0.3">
      <c r="B34" t="s">
        <v>33</v>
      </c>
    </row>
    <row r="35" spans="1:2" x14ac:dyDescent="0.3">
      <c r="A35" s="1">
        <v>42411</v>
      </c>
      <c r="B35" t="s">
        <v>34</v>
      </c>
    </row>
    <row r="36" spans="1:2" x14ac:dyDescent="0.3">
      <c r="B36" t="s">
        <v>35</v>
      </c>
    </row>
    <row r="37" spans="1:2" x14ac:dyDescent="0.3">
      <c r="B37" t="s">
        <v>36</v>
      </c>
    </row>
    <row r="38" spans="1:2" x14ac:dyDescent="0.3">
      <c r="B38" t="s">
        <v>37</v>
      </c>
    </row>
    <row r="39" spans="1:2" x14ac:dyDescent="0.3">
      <c r="B39" t="s">
        <v>39</v>
      </c>
    </row>
    <row r="40" spans="1:2" x14ac:dyDescent="0.3">
      <c r="B40" t="s">
        <v>38</v>
      </c>
    </row>
    <row r="41" spans="1:2" x14ac:dyDescent="0.3">
      <c r="B41" t="s">
        <v>40</v>
      </c>
    </row>
    <row r="42" spans="1:2" x14ac:dyDescent="0.3">
      <c r="B42" t="s">
        <v>41</v>
      </c>
    </row>
    <row r="43" spans="1:2" x14ac:dyDescent="0.3">
      <c r="B43" t="s">
        <v>42</v>
      </c>
    </row>
    <row r="44" spans="1:2" x14ac:dyDescent="0.3">
      <c r="B44" t="s">
        <v>43</v>
      </c>
    </row>
    <row r="45" spans="1:2" x14ac:dyDescent="0.3">
      <c r="B45" t="s">
        <v>44</v>
      </c>
    </row>
    <row r="46" spans="1:2" x14ac:dyDescent="0.3">
      <c r="B46" t="s">
        <v>45</v>
      </c>
    </row>
    <row r="47" spans="1:2" x14ac:dyDescent="0.3">
      <c r="A47" s="1">
        <v>42416</v>
      </c>
      <c r="B47" t="s">
        <v>229</v>
      </c>
    </row>
    <row r="48" spans="1:2" x14ac:dyDescent="0.3">
      <c r="B48" t="s">
        <v>230</v>
      </c>
    </row>
    <row r="49" spans="1:2" x14ac:dyDescent="0.3">
      <c r="B49" t="s">
        <v>233</v>
      </c>
    </row>
    <row r="50" spans="1:2" x14ac:dyDescent="0.3">
      <c r="B50" t="s">
        <v>232</v>
      </c>
    </row>
    <row r="51" spans="1:2" x14ac:dyDescent="0.3">
      <c r="B51" t="s">
        <v>231</v>
      </c>
    </row>
    <row r="53" spans="1:2" x14ac:dyDescent="0.3">
      <c r="B53" t="s">
        <v>234</v>
      </c>
    </row>
    <row r="54" spans="1:2" x14ac:dyDescent="0.3">
      <c r="A54" s="1">
        <v>42418</v>
      </c>
      <c r="B54" t="s">
        <v>236</v>
      </c>
    </row>
    <row r="55" spans="1:2" x14ac:dyDescent="0.3">
      <c r="B55" t="s">
        <v>237</v>
      </c>
    </row>
    <row r="56" spans="1:2" x14ac:dyDescent="0.3">
      <c r="B56" t="s">
        <v>238</v>
      </c>
    </row>
    <row r="57" spans="1:2" x14ac:dyDescent="0.3">
      <c r="A57" s="1">
        <v>42419</v>
      </c>
      <c r="B57" t="s">
        <v>244</v>
      </c>
    </row>
    <row r="58" spans="1:2" x14ac:dyDescent="0.3">
      <c r="B58" t="s">
        <v>245</v>
      </c>
    </row>
    <row r="59" spans="1:2" x14ac:dyDescent="0.3">
      <c r="B59" t="s">
        <v>246</v>
      </c>
    </row>
    <row r="60" spans="1:2" x14ac:dyDescent="0.3">
      <c r="B60" t="s">
        <v>247</v>
      </c>
    </row>
    <row r="61" spans="1:2" x14ac:dyDescent="0.3">
      <c r="A61" s="1">
        <v>42422</v>
      </c>
      <c r="B61" t="s">
        <v>249</v>
      </c>
    </row>
    <row r="62" spans="1:2" x14ac:dyDescent="0.3">
      <c r="B62" t="s">
        <v>250</v>
      </c>
    </row>
    <row r="64" spans="1:2" x14ac:dyDescent="0.3">
      <c r="B64" t="s">
        <v>251</v>
      </c>
    </row>
    <row r="65" spans="1:2" x14ac:dyDescent="0.3">
      <c r="A65" s="1">
        <v>42425</v>
      </c>
      <c r="B65" t="s">
        <v>277</v>
      </c>
    </row>
    <row r="66" spans="1:2" x14ac:dyDescent="0.3">
      <c r="B66" t="s">
        <v>278</v>
      </c>
    </row>
    <row r="67" spans="1:2" x14ac:dyDescent="0.3">
      <c r="B67" t="s">
        <v>279</v>
      </c>
    </row>
    <row r="68" spans="1:2" x14ac:dyDescent="0.3">
      <c r="A68" s="1">
        <v>42426</v>
      </c>
      <c r="B68" t="s">
        <v>282</v>
      </c>
    </row>
    <row r="69" spans="1:2" x14ac:dyDescent="0.3">
      <c r="B69" t="s">
        <v>283</v>
      </c>
    </row>
    <row r="70" spans="1:2" x14ac:dyDescent="0.3">
      <c r="A70" s="1">
        <v>42427</v>
      </c>
      <c r="B70" t="s">
        <v>284</v>
      </c>
    </row>
    <row r="71" spans="1:2" x14ac:dyDescent="0.3">
      <c r="B71" t="s">
        <v>285</v>
      </c>
    </row>
    <row r="72" spans="1:2" x14ac:dyDescent="0.3">
      <c r="B72" t="s">
        <v>286</v>
      </c>
    </row>
    <row r="73" spans="1:2" x14ac:dyDescent="0.3">
      <c r="B73" t="s">
        <v>287</v>
      </c>
    </row>
    <row r="74" spans="1:2" x14ac:dyDescent="0.3">
      <c r="B74" t="s">
        <v>288</v>
      </c>
    </row>
    <row r="75" spans="1:2" x14ac:dyDescent="0.3">
      <c r="A75" s="1">
        <v>42428</v>
      </c>
      <c r="B75" t="s">
        <v>289</v>
      </c>
    </row>
    <row r="76" spans="1:2" x14ac:dyDescent="0.3">
      <c r="B76" t="s">
        <v>290</v>
      </c>
    </row>
    <row r="77" spans="1:2" x14ac:dyDescent="0.3">
      <c r="B77" t="s">
        <v>291</v>
      </c>
    </row>
    <row r="78" spans="1:2" x14ac:dyDescent="0.3">
      <c r="B78" t="s">
        <v>292</v>
      </c>
    </row>
    <row r="79" spans="1:2" x14ac:dyDescent="0.3">
      <c r="A79" s="1">
        <v>42431</v>
      </c>
      <c r="B79" t="s">
        <v>295</v>
      </c>
    </row>
    <row r="80" spans="1:2" x14ac:dyDescent="0.3">
      <c r="B80" t="s">
        <v>296</v>
      </c>
    </row>
    <row r="81" spans="1:2" x14ac:dyDescent="0.3">
      <c r="B81" t="s">
        <v>293</v>
      </c>
    </row>
    <row r="82" spans="1:2" x14ac:dyDescent="0.3">
      <c r="B82" t="s">
        <v>294</v>
      </c>
    </row>
    <row r="84" spans="1:2" x14ac:dyDescent="0.3">
      <c r="A84" s="1">
        <v>42460</v>
      </c>
      <c r="B84" t="s">
        <v>299</v>
      </c>
    </row>
    <row r="86" spans="1:2" x14ac:dyDescent="0.3">
      <c r="A86" s="1">
        <v>42462</v>
      </c>
      <c r="B86" t="s">
        <v>300</v>
      </c>
    </row>
    <row r="87" spans="1:2" x14ac:dyDescent="0.3">
      <c r="B87" t="s">
        <v>301</v>
      </c>
    </row>
    <row r="88" spans="1:2" x14ac:dyDescent="0.3">
      <c r="B88" t="s">
        <v>302</v>
      </c>
    </row>
    <row r="89" spans="1:2" x14ac:dyDescent="0.3">
      <c r="A89" s="1">
        <v>42463</v>
      </c>
      <c r="B89" t="s">
        <v>303</v>
      </c>
    </row>
    <row r="90" spans="1:2" x14ac:dyDescent="0.3">
      <c r="B90" t="s">
        <v>304</v>
      </c>
    </row>
    <row r="91" spans="1:2" x14ac:dyDescent="0.3">
      <c r="B91" t="s">
        <v>305</v>
      </c>
    </row>
    <row r="92" spans="1:2" x14ac:dyDescent="0.3">
      <c r="B92" t="s">
        <v>306</v>
      </c>
    </row>
    <row r="93" spans="1:2" x14ac:dyDescent="0.3">
      <c r="B93" t="s">
        <v>307</v>
      </c>
    </row>
    <row r="94" spans="1:2" x14ac:dyDescent="0.3">
      <c r="B94" t="s">
        <v>308</v>
      </c>
    </row>
    <row r="95" spans="1:2" x14ac:dyDescent="0.3">
      <c r="B95" t="s">
        <v>309</v>
      </c>
    </row>
    <row r="96" spans="1:2" x14ac:dyDescent="0.3">
      <c r="B96" t="s">
        <v>310</v>
      </c>
    </row>
    <row r="97" spans="1:2" x14ac:dyDescent="0.3">
      <c r="A97" s="1">
        <v>42567</v>
      </c>
      <c r="B97" t="s">
        <v>2468</v>
      </c>
    </row>
    <row r="98" spans="1:2" x14ac:dyDescent="0.3">
      <c r="B98" t="s">
        <v>2469</v>
      </c>
    </row>
    <row r="99" spans="1:2" x14ac:dyDescent="0.3">
      <c r="B99" t="s">
        <v>2470</v>
      </c>
    </row>
    <row r="100" spans="1:2" x14ac:dyDescent="0.3">
      <c r="B100" t="s">
        <v>2471</v>
      </c>
    </row>
    <row r="101" spans="1:2" x14ac:dyDescent="0.3">
      <c r="B101" t="s">
        <v>2472</v>
      </c>
    </row>
    <row r="102" spans="1:2" x14ac:dyDescent="0.3">
      <c r="A102" s="1">
        <v>75446</v>
      </c>
      <c r="B102" t="s">
        <v>2814</v>
      </c>
    </row>
    <row r="103" spans="1:2" x14ac:dyDescent="0.3">
      <c r="B103" t="s">
        <v>2815</v>
      </c>
    </row>
    <row r="104" spans="1:2" x14ac:dyDescent="0.3">
      <c r="B104" t="s">
        <v>2816</v>
      </c>
    </row>
    <row r="105" spans="1:2" x14ac:dyDescent="0.3">
      <c r="B105" t="s">
        <v>2817</v>
      </c>
    </row>
    <row r="107" spans="1:2" x14ac:dyDescent="0.3">
      <c r="A107" s="1">
        <v>42579</v>
      </c>
      <c r="B107" t="s">
        <v>3090</v>
      </c>
    </row>
    <row r="108" spans="1:2" x14ac:dyDescent="0.3">
      <c r="B108" t="s">
        <v>3091</v>
      </c>
    </row>
    <row r="110" spans="1:2" x14ac:dyDescent="0.3">
      <c r="A110" s="1">
        <v>79108</v>
      </c>
      <c r="B110" t="s">
        <v>3111</v>
      </c>
    </row>
    <row r="111" spans="1:2" x14ac:dyDescent="0.3">
      <c r="B111" t="s">
        <v>234</v>
      </c>
    </row>
    <row r="112" spans="1:2" x14ac:dyDescent="0.3">
      <c r="A112" s="1">
        <v>42585</v>
      </c>
      <c r="B112" t="s">
        <v>3125</v>
      </c>
    </row>
    <row r="113" spans="1:2" x14ac:dyDescent="0.3">
      <c r="B113" t="s">
        <v>3137</v>
      </c>
    </row>
    <row r="114" spans="1:2" x14ac:dyDescent="0.3">
      <c r="B114" t="s">
        <v>3135</v>
      </c>
    </row>
    <row r="115" spans="1:2" x14ac:dyDescent="0.3">
      <c r="B115" t="s">
        <v>3136</v>
      </c>
    </row>
    <row r="116" spans="1:2" x14ac:dyDescent="0.3">
      <c r="B116" t="s">
        <v>247</v>
      </c>
    </row>
    <row r="117" spans="1:2" x14ac:dyDescent="0.3">
      <c r="A117" s="1">
        <v>42586</v>
      </c>
      <c r="B117" t="s">
        <v>3138</v>
      </c>
    </row>
    <row r="118" spans="1:2" x14ac:dyDescent="0.3">
      <c r="B118" t="s">
        <v>3139</v>
      </c>
    </row>
    <row r="119" spans="1:2" x14ac:dyDescent="0.3">
      <c r="B119" t="s">
        <v>3140</v>
      </c>
    </row>
    <row r="120" spans="1:2" x14ac:dyDescent="0.3">
      <c r="B120" t="s">
        <v>3143</v>
      </c>
    </row>
    <row r="121" spans="1:2" x14ac:dyDescent="0.3">
      <c r="B121" t="s">
        <v>3144</v>
      </c>
    </row>
    <row r="123" spans="1:2" x14ac:dyDescent="0.3">
      <c r="A123" s="1">
        <v>42587</v>
      </c>
      <c r="B123" t="s">
        <v>3146</v>
      </c>
    </row>
    <row r="124" spans="1:2" x14ac:dyDescent="0.3">
      <c r="B124" t="s">
        <v>3147</v>
      </c>
    </row>
    <row r="125" spans="1:2" x14ac:dyDescent="0.3">
      <c r="B125" t="s">
        <v>3148</v>
      </c>
    </row>
    <row r="126" spans="1:2" x14ac:dyDescent="0.3">
      <c r="B126" t="s">
        <v>3149</v>
      </c>
    </row>
    <row r="128" spans="1:2" x14ac:dyDescent="0.3">
      <c r="A128" s="1">
        <v>42590</v>
      </c>
      <c r="B128" t="s">
        <v>3164</v>
      </c>
    </row>
    <row r="129" spans="1:2" x14ac:dyDescent="0.3">
      <c r="B129" t="s">
        <v>3165</v>
      </c>
    </row>
    <row r="130" spans="1:2" x14ac:dyDescent="0.3">
      <c r="B130" t="s">
        <v>3166</v>
      </c>
    </row>
    <row r="131" spans="1:2" x14ac:dyDescent="0.3">
      <c r="B131" t="s">
        <v>3167</v>
      </c>
    </row>
    <row r="132" spans="1:2" x14ac:dyDescent="0.3">
      <c r="B132" t="s">
        <v>3210</v>
      </c>
    </row>
    <row r="133" spans="1:2" x14ac:dyDescent="0.3">
      <c r="B133" t="s">
        <v>3211</v>
      </c>
    </row>
    <row r="134" spans="1:2" x14ac:dyDescent="0.3">
      <c r="B134" t="s">
        <v>3212</v>
      </c>
    </row>
    <row r="135" spans="1:2" x14ac:dyDescent="0.3">
      <c r="B135" t="s">
        <v>3213</v>
      </c>
    </row>
    <row r="136" spans="1:2" x14ac:dyDescent="0.3">
      <c r="B136" t="s">
        <v>3214</v>
      </c>
    </row>
    <row r="137" spans="1:2" x14ac:dyDescent="0.3">
      <c r="B137" t="s">
        <v>3215</v>
      </c>
    </row>
    <row r="138" spans="1:2" x14ac:dyDescent="0.3">
      <c r="B138" t="s">
        <v>20</v>
      </c>
    </row>
    <row r="139" spans="1:2" x14ac:dyDescent="0.3">
      <c r="B139" t="s">
        <v>3246</v>
      </c>
    </row>
    <row r="140" spans="1:2" x14ac:dyDescent="0.3">
      <c r="B140" t="s">
        <v>3247</v>
      </c>
    </row>
    <row r="141" spans="1:2" x14ac:dyDescent="0.3">
      <c r="B141" t="s">
        <v>3248</v>
      </c>
    </row>
    <row r="142" spans="1:2" x14ac:dyDescent="0.3">
      <c r="A142" s="1">
        <v>42880</v>
      </c>
      <c r="B142" t="s">
        <v>3306</v>
      </c>
    </row>
    <row r="143" spans="1:2" x14ac:dyDescent="0.3">
      <c r="B143" t="s">
        <v>3307</v>
      </c>
    </row>
    <row r="144" spans="1:2" x14ac:dyDescent="0.3">
      <c r="B144" t="s">
        <v>3309</v>
      </c>
    </row>
    <row r="145" spans="1:2" x14ac:dyDescent="0.3">
      <c r="B145" t="s">
        <v>3308</v>
      </c>
    </row>
    <row r="146" spans="1:2" x14ac:dyDescent="0.3">
      <c r="B146" t="s">
        <v>238</v>
      </c>
    </row>
    <row r="148" spans="1:2" x14ac:dyDescent="0.3">
      <c r="A148" s="1">
        <v>42993</v>
      </c>
      <c r="B148" t="s">
        <v>3310</v>
      </c>
    </row>
    <row r="149" spans="1:2" x14ac:dyDescent="0.3">
      <c r="B149" t="s">
        <v>3311</v>
      </c>
    </row>
    <row r="150" spans="1:2" x14ac:dyDescent="0.3">
      <c r="B150" t="s">
        <v>3312</v>
      </c>
    </row>
    <row r="151" spans="1:2" x14ac:dyDescent="0.3">
      <c r="B151" t="s">
        <v>3313</v>
      </c>
    </row>
    <row r="152" spans="1:2" x14ac:dyDescent="0.3">
      <c r="B152" t="s">
        <v>3314</v>
      </c>
    </row>
    <row r="153" spans="1:2" x14ac:dyDescent="0.3">
      <c r="B153" t="s">
        <v>3315</v>
      </c>
    </row>
    <row r="154" spans="1:2" x14ac:dyDescent="0.3">
      <c r="B154" t="s">
        <v>3716</v>
      </c>
    </row>
    <row r="155" spans="1:2" x14ac:dyDescent="0.3">
      <c r="B155" t="s">
        <v>3717</v>
      </c>
    </row>
    <row r="156" spans="1:2" x14ac:dyDescent="0.3">
      <c r="B156" t="s">
        <v>3718</v>
      </c>
    </row>
    <row r="157" spans="1:2" x14ac:dyDescent="0.3">
      <c r="B157" t="s">
        <v>3719</v>
      </c>
    </row>
    <row r="158" spans="1:2" x14ac:dyDescent="0.3">
      <c r="B158" t="s">
        <v>3726</v>
      </c>
    </row>
    <row r="159" spans="1:2" x14ac:dyDescent="0.3">
      <c r="B159" t="s">
        <v>3727</v>
      </c>
    </row>
    <row r="161" spans="1:2" x14ac:dyDescent="0.3">
      <c r="A161" s="1">
        <v>42994</v>
      </c>
      <c r="B161" t="s">
        <v>3743</v>
      </c>
    </row>
    <row r="162" spans="1:2" x14ac:dyDescent="0.3">
      <c r="B162" t="s">
        <v>3744</v>
      </c>
    </row>
    <row r="163" spans="1:2" x14ac:dyDescent="0.3">
      <c r="B163" t="s">
        <v>3745</v>
      </c>
    </row>
    <row r="164" spans="1:2" x14ac:dyDescent="0.3">
      <c r="B164" t="s">
        <v>3746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300"/>
  <sheetViews>
    <sheetView workbookViewId="0">
      <selection activeCell="A17" sqref="A17:H17"/>
    </sheetView>
  </sheetViews>
  <sheetFormatPr defaultRowHeight="14.4" x14ac:dyDescent="0.3"/>
  <sheetData>
    <row r="1" spans="1:12" x14ac:dyDescent="0.3">
      <c r="A1" s="5" t="s">
        <v>248</v>
      </c>
      <c r="B1" s="5"/>
      <c r="C1" s="5"/>
      <c r="D1" s="5" t="s">
        <v>224</v>
      </c>
      <c r="E1" s="5" t="s">
        <v>242</v>
      </c>
      <c r="F1" s="5" t="s">
        <v>223</v>
      </c>
      <c r="G1" s="5" t="s">
        <v>243</v>
      </c>
      <c r="H1" s="5"/>
    </row>
    <row r="2" spans="1:12" x14ac:dyDescent="0.3">
      <c r="A2" t="s">
        <v>441</v>
      </c>
      <c r="D2">
        <v>50</v>
      </c>
      <c r="E2">
        <v>26</v>
      </c>
      <c r="F2" t="s">
        <v>440</v>
      </c>
      <c r="G2" t="s">
        <v>239</v>
      </c>
    </row>
    <row r="3" spans="1:12" x14ac:dyDescent="0.3">
      <c r="A3" t="s">
        <v>491</v>
      </c>
      <c r="D3">
        <v>294</v>
      </c>
      <c r="E3">
        <v>26</v>
      </c>
      <c r="F3" t="s">
        <v>245</v>
      </c>
      <c r="G3" t="s">
        <v>239</v>
      </c>
    </row>
    <row r="4" spans="1:12" x14ac:dyDescent="0.3">
      <c r="A4" t="s">
        <v>491</v>
      </c>
      <c r="D4">
        <v>1</v>
      </c>
      <c r="E4">
        <v>27</v>
      </c>
      <c r="F4" t="s">
        <v>493</v>
      </c>
      <c r="G4" t="s">
        <v>239</v>
      </c>
    </row>
    <row r="5" spans="1:12" x14ac:dyDescent="0.3">
      <c r="A5" t="s">
        <v>215</v>
      </c>
      <c r="D5">
        <v>341</v>
      </c>
      <c r="E5">
        <v>15</v>
      </c>
      <c r="F5" t="s">
        <v>212</v>
      </c>
      <c r="G5" t="s">
        <v>239</v>
      </c>
      <c r="L5">
        <f>LEN(A5)</f>
        <v>16</v>
      </c>
    </row>
    <row r="6" spans="1:12" x14ac:dyDescent="0.3">
      <c r="A6" t="s">
        <v>481</v>
      </c>
      <c r="D6">
        <v>88</v>
      </c>
      <c r="E6">
        <v>13</v>
      </c>
      <c r="F6" t="s">
        <v>479</v>
      </c>
      <c r="G6" t="s">
        <v>239</v>
      </c>
    </row>
    <row r="7" spans="1:12" x14ac:dyDescent="0.3">
      <c r="A7" t="s">
        <v>431</v>
      </c>
      <c r="D7">
        <v>48</v>
      </c>
      <c r="E7">
        <v>49</v>
      </c>
      <c r="F7" t="s">
        <v>430</v>
      </c>
      <c r="G7" t="s">
        <v>239</v>
      </c>
    </row>
    <row r="8" spans="1:12" x14ac:dyDescent="0.3">
      <c r="A8" t="s">
        <v>2571</v>
      </c>
      <c r="D8">
        <v>474</v>
      </c>
      <c r="E8">
        <v>24</v>
      </c>
      <c r="F8" t="s">
        <v>2568</v>
      </c>
      <c r="G8" t="s">
        <v>239</v>
      </c>
    </row>
    <row r="9" spans="1:12" x14ac:dyDescent="0.3">
      <c r="A9" t="s">
        <v>435</v>
      </c>
      <c r="D9">
        <v>295</v>
      </c>
      <c r="E9">
        <v>87</v>
      </c>
      <c r="F9" t="s">
        <v>430</v>
      </c>
      <c r="G9" t="s">
        <v>239</v>
      </c>
    </row>
    <row r="10" spans="1:12" x14ac:dyDescent="0.3">
      <c r="A10" t="s">
        <v>435</v>
      </c>
      <c r="D10">
        <v>168</v>
      </c>
      <c r="E10">
        <v>128</v>
      </c>
      <c r="F10" t="s">
        <v>2568</v>
      </c>
      <c r="G10" t="s">
        <v>239</v>
      </c>
    </row>
    <row r="11" spans="1:12" x14ac:dyDescent="0.3">
      <c r="A11" t="s">
        <v>425</v>
      </c>
      <c r="D11">
        <v>514</v>
      </c>
      <c r="E11">
        <v>125</v>
      </c>
      <c r="F11" t="s">
        <v>421</v>
      </c>
      <c r="G11" t="s">
        <v>239</v>
      </c>
    </row>
    <row r="12" spans="1:12" x14ac:dyDescent="0.3">
      <c r="A12" t="s">
        <v>2540</v>
      </c>
      <c r="D12">
        <v>568</v>
      </c>
      <c r="E12">
        <v>117</v>
      </c>
      <c r="F12" t="s">
        <v>2568</v>
      </c>
      <c r="G12" t="s">
        <v>239</v>
      </c>
    </row>
    <row r="13" spans="1:12" x14ac:dyDescent="0.3">
      <c r="A13" t="s">
        <v>426</v>
      </c>
      <c r="D13">
        <v>639</v>
      </c>
      <c r="E13">
        <v>13</v>
      </c>
      <c r="F13" t="s">
        <v>421</v>
      </c>
      <c r="G13" t="s">
        <v>239</v>
      </c>
    </row>
    <row r="14" spans="1:12" x14ac:dyDescent="0.3">
      <c r="A14" t="s">
        <v>424</v>
      </c>
      <c r="D14">
        <v>398</v>
      </c>
      <c r="E14">
        <v>116</v>
      </c>
      <c r="F14" t="s">
        <v>421</v>
      </c>
      <c r="G14" t="s">
        <v>239</v>
      </c>
    </row>
    <row r="15" spans="1:12" x14ac:dyDescent="0.3">
      <c r="A15" t="s">
        <v>2572</v>
      </c>
      <c r="D15">
        <v>498</v>
      </c>
      <c r="E15">
        <v>70</v>
      </c>
      <c r="F15" t="s">
        <v>2568</v>
      </c>
      <c r="G15" t="s">
        <v>239</v>
      </c>
    </row>
    <row r="16" spans="1:12" x14ac:dyDescent="0.3">
      <c r="A16" t="s">
        <v>443</v>
      </c>
      <c r="D16">
        <v>159</v>
      </c>
      <c r="E16">
        <v>72</v>
      </c>
      <c r="F16" t="s">
        <v>440</v>
      </c>
      <c r="G16" t="s">
        <v>239</v>
      </c>
    </row>
    <row r="17" spans="1:7" x14ac:dyDescent="0.3">
      <c r="A17" t="s">
        <v>432</v>
      </c>
      <c r="D17">
        <v>97</v>
      </c>
      <c r="E17">
        <v>24</v>
      </c>
      <c r="F17" t="s">
        <v>430</v>
      </c>
      <c r="G17" t="s">
        <v>239</v>
      </c>
    </row>
    <row r="300" spans="1:7" x14ac:dyDescent="0.3">
      <c r="A300" s="5"/>
      <c r="B300" s="5"/>
      <c r="C300" s="5"/>
      <c r="D300" s="5"/>
      <c r="E300" s="5"/>
      <c r="F300" s="5"/>
      <c r="G300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testinstr">
                <anchor moveWithCells="1" sizeWithCells="1">
                  <from>
                    <xdr:col>14</xdr:col>
                    <xdr:colOff>175260</xdr:colOff>
                    <xdr:row>2</xdr:row>
                    <xdr:rowOff>91440</xdr:rowOff>
                  </from>
                  <to>
                    <xdr:col>16</xdr:col>
                    <xdr:colOff>601980</xdr:colOff>
                    <xdr:row>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18"/>
  <sheetViews>
    <sheetView topLeftCell="A97" workbookViewId="0">
      <selection activeCell="A2" sqref="A2"/>
    </sheetView>
  </sheetViews>
  <sheetFormatPr defaultRowHeight="14.4" x14ac:dyDescent="0.3"/>
  <sheetData>
    <row r="1" spans="1:11" x14ac:dyDescent="0.3">
      <c r="A1" t="s">
        <v>134</v>
      </c>
      <c r="D1">
        <v>53</v>
      </c>
      <c r="E1">
        <v>16</v>
      </c>
      <c r="F1" t="s">
        <v>133</v>
      </c>
      <c r="G1" t="s">
        <v>235</v>
      </c>
      <c r="K1">
        <v>5</v>
      </c>
    </row>
    <row r="2" spans="1:11" x14ac:dyDescent="0.3">
      <c r="A2" t="s">
        <v>135</v>
      </c>
      <c r="D2">
        <v>69</v>
      </c>
      <c r="E2">
        <v>25</v>
      </c>
      <c r="F2" t="s">
        <v>133</v>
      </c>
      <c r="G2" t="s">
        <v>235</v>
      </c>
    </row>
    <row r="3" spans="1:11" x14ac:dyDescent="0.3">
      <c r="A3" t="s">
        <v>146</v>
      </c>
      <c r="D3">
        <v>285</v>
      </c>
      <c r="E3">
        <v>128</v>
      </c>
      <c r="F3" t="s">
        <v>142</v>
      </c>
      <c r="G3" t="s">
        <v>235</v>
      </c>
    </row>
    <row r="4" spans="1:11" x14ac:dyDescent="0.3">
      <c r="A4" t="s">
        <v>59</v>
      </c>
      <c r="D4">
        <v>266</v>
      </c>
      <c r="E4">
        <v>68</v>
      </c>
      <c r="F4" t="s">
        <v>21</v>
      </c>
      <c r="G4" t="s">
        <v>235</v>
      </c>
    </row>
    <row r="5" spans="1:11" x14ac:dyDescent="0.3">
      <c r="A5" t="s">
        <v>151</v>
      </c>
      <c r="D5">
        <v>490</v>
      </c>
      <c r="E5">
        <v>53</v>
      </c>
      <c r="F5" t="s">
        <v>21</v>
      </c>
      <c r="G5" t="s">
        <v>235</v>
      </c>
    </row>
    <row r="6" spans="1:11" x14ac:dyDescent="0.3">
      <c r="A6" t="s">
        <v>137</v>
      </c>
      <c r="D6">
        <v>128</v>
      </c>
      <c r="E6">
        <v>53</v>
      </c>
      <c r="F6" t="s">
        <v>133</v>
      </c>
      <c r="G6" t="s">
        <v>235</v>
      </c>
    </row>
    <row r="7" spans="1:11" x14ac:dyDescent="0.3">
      <c r="A7" t="s">
        <v>55</v>
      </c>
      <c r="D7">
        <v>3</v>
      </c>
      <c r="E7">
        <v>119</v>
      </c>
      <c r="F7" t="s">
        <v>21</v>
      </c>
      <c r="G7" t="s">
        <v>235</v>
      </c>
    </row>
    <row r="8" spans="1:11" x14ac:dyDescent="0.3">
      <c r="A8" t="s">
        <v>130</v>
      </c>
      <c r="D8">
        <v>148</v>
      </c>
      <c r="E8">
        <v>84</v>
      </c>
      <c r="F8" t="s">
        <v>128</v>
      </c>
      <c r="G8" t="s">
        <v>235</v>
      </c>
    </row>
    <row r="9" spans="1:11" x14ac:dyDescent="0.3">
      <c r="A9" t="s">
        <v>52</v>
      </c>
      <c r="D9">
        <v>1</v>
      </c>
      <c r="E9">
        <v>116</v>
      </c>
      <c r="F9" t="s">
        <v>128</v>
      </c>
      <c r="G9" t="s">
        <v>235</v>
      </c>
    </row>
    <row r="10" spans="1:11" x14ac:dyDescent="0.3">
      <c r="A10" t="s">
        <v>102</v>
      </c>
      <c r="D10">
        <v>46</v>
      </c>
      <c r="E10">
        <v>19</v>
      </c>
      <c r="F10" t="s">
        <v>195</v>
      </c>
      <c r="G10" t="s">
        <v>235</v>
      </c>
    </row>
    <row r="11" spans="1:11" x14ac:dyDescent="0.3">
      <c r="A11" t="s">
        <v>201</v>
      </c>
      <c r="D11">
        <v>1</v>
      </c>
      <c r="E11">
        <v>6</v>
      </c>
      <c r="F11" t="s">
        <v>202</v>
      </c>
      <c r="G11" t="s">
        <v>235</v>
      </c>
    </row>
    <row r="12" spans="1:11" x14ac:dyDescent="0.3">
      <c r="A12" t="s">
        <v>201</v>
      </c>
      <c r="D12">
        <v>1</v>
      </c>
      <c r="E12">
        <v>6</v>
      </c>
      <c r="F12" t="s">
        <v>216</v>
      </c>
      <c r="G12" t="s">
        <v>235</v>
      </c>
    </row>
    <row r="13" spans="1:11" x14ac:dyDescent="0.3">
      <c r="A13" t="s">
        <v>50</v>
      </c>
      <c r="D13">
        <v>27</v>
      </c>
      <c r="E13">
        <v>42</v>
      </c>
      <c r="F13" t="s">
        <v>123</v>
      </c>
      <c r="G13" t="s">
        <v>235</v>
      </c>
    </row>
    <row r="14" spans="1:11" x14ac:dyDescent="0.3">
      <c r="A14" t="s">
        <v>126</v>
      </c>
      <c r="D14">
        <v>121</v>
      </c>
      <c r="E14">
        <v>7</v>
      </c>
      <c r="F14" t="s">
        <v>123</v>
      </c>
      <c r="G14" t="s">
        <v>235</v>
      </c>
    </row>
    <row r="15" spans="1:11" x14ac:dyDescent="0.3">
      <c r="A15" t="s">
        <v>69</v>
      </c>
      <c r="D15">
        <v>1</v>
      </c>
      <c r="E15">
        <v>11</v>
      </c>
      <c r="F15" t="s">
        <v>189</v>
      </c>
      <c r="G15" t="s">
        <v>235</v>
      </c>
    </row>
    <row r="16" spans="1:11" x14ac:dyDescent="0.3">
      <c r="A16" t="s">
        <v>144</v>
      </c>
      <c r="D16">
        <v>205</v>
      </c>
      <c r="E16">
        <v>38</v>
      </c>
      <c r="F16" t="s">
        <v>142</v>
      </c>
      <c r="G16" t="s">
        <v>235</v>
      </c>
    </row>
    <row r="17" spans="1:7" x14ac:dyDescent="0.3">
      <c r="A17" t="s">
        <v>71</v>
      </c>
      <c r="D17">
        <v>1</v>
      </c>
      <c r="E17">
        <v>4</v>
      </c>
      <c r="F17" t="s">
        <v>221</v>
      </c>
      <c r="G17" t="s">
        <v>235</v>
      </c>
    </row>
    <row r="18" spans="1:7" x14ac:dyDescent="0.3">
      <c r="A18" t="s">
        <v>85</v>
      </c>
      <c r="D18">
        <v>321</v>
      </c>
      <c r="E18">
        <v>42</v>
      </c>
      <c r="F18" t="s">
        <v>184</v>
      </c>
      <c r="G18" t="s">
        <v>235</v>
      </c>
    </row>
    <row r="19" spans="1:7" x14ac:dyDescent="0.3">
      <c r="A19" t="s">
        <v>190</v>
      </c>
      <c r="D19">
        <v>12</v>
      </c>
      <c r="E19">
        <v>6</v>
      </c>
      <c r="F19" t="s">
        <v>189</v>
      </c>
      <c r="G19" t="s">
        <v>235</v>
      </c>
    </row>
    <row r="20" spans="1:7" x14ac:dyDescent="0.3">
      <c r="A20" t="s">
        <v>191</v>
      </c>
      <c r="D20">
        <v>18</v>
      </c>
      <c r="E20">
        <v>6</v>
      </c>
      <c r="F20" t="s">
        <v>189</v>
      </c>
      <c r="G20" t="s">
        <v>235</v>
      </c>
    </row>
    <row r="21" spans="1:7" x14ac:dyDescent="0.3">
      <c r="A21" t="s">
        <v>192</v>
      </c>
      <c r="D21">
        <v>24</v>
      </c>
      <c r="E21">
        <v>7</v>
      </c>
      <c r="F21" t="s">
        <v>189</v>
      </c>
      <c r="G21" t="s">
        <v>235</v>
      </c>
    </row>
    <row r="22" spans="1:7" x14ac:dyDescent="0.3">
      <c r="A22" t="s">
        <v>193</v>
      </c>
      <c r="D22">
        <v>31</v>
      </c>
      <c r="E22">
        <v>6</v>
      </c>
      <c r="F22" t="s">
        <v>189</v>
      </c>
      <c r="G22" t="s">
        <v>235</v>
      </c>
    </row>
    <row r="23" spans="1:7" x14ac:dyDescent="0.3">
      <c r="A23" t="s">
        <v>194</v>
      </c>
      <c r="D23">
        <v>37</v>
      </c>
      <c r="E23">
        <v>7</v>
      </c>
      <c r="F23" t="s">
        <v>189</v>
      </c>
      <c r="G23" t="s">
        <v>235</v>
      </c>
    </row>
    <row r="24" spans="1:7" x14ac:dyDescent="0.3">
      <c r="A24" t="s">
        <v>83</v>
      </c>
      <c r="D24">
        <v>1</v>
      </c>
      <c r="E24">
        <v>5</v>
      </c>
      <c r="F24" t="s">
        <v>139</v>
      </c>
      <c r="G24" t="s">
        <v>235</v>
      </c>
    </row>
    <row r="25" spans="1:7" x14ac:dyDescent="0.3">
      <c r="A25" t="s">
        <v>86</v>
      </c>
      <c r="D25">
        <v>1</v>
      </c>
      <c r="E25">
        <v>9</v>
      </c>
      <c r="F25" t="s">
        <v>184</v>
      </c>
      <c r="G25" t="s">
        <v>235</v>
      </c>
    </row>
    <row r="26" spans="1:7" x14ac:dyDescent="0.3">
      <c r="A26" t="s">
        <v>76</v>
      </c>
      <c r="D26">
        <v>264</v>
      </c>
      <c r="E26">
        <v>41</v>
      </c>
      <c r="F26" t="s">
        <v>139</v>
      </c>
      <c r="G26" t="s">
        <v>235</v>
      </c>
    </row>
    <row r="27" spans="1:7" x14ac:dyDescent="0.3">
      <c r="A27" t="s">
        <v>196</v>
      </c>
      <c r="D27">
        <v>1</v>
      </c>
      <c r="E27">
        <v>40</v>
      </c>
      <c r="F27" t="s">
        <v>197</v>
      </c>
      <c r="G27" t="s">
        <v>235</v>
      </c>
    </row>
    <row r="28" spans="1:7" x14ac:dyDescent="0.3">
      <c r="A28" t="s">
        <v>203</v>
      </c>
      <c r="D28">
        <v>7</v>
      </c>
      <c r="E28">
        <v>11</v>
      </c>
      <c r="F28" t="s">
        <v>202</v>
      </c>
      <c r="G28" t="s">
        <v>235</v>
      </c>
    </row>
    <row r="29" spans="1:7" x14ac:dyDescent="0.3">
      <c r="A29" t="s">
        <v>204</v>
      </c>
      <c r="D29">
        <v>18</v>
      </c>
      <c r="E29">
        <v>10</v>
      </c>
      <c r="F29" t="s">
        <v>202</v>
      </c>
      <c r="G29" t="s">
        <v>235</v>
      </c>
    </row>
    <row r="30" spans="1:7" x14ac:dyDescent="0.3">
      <c r="A30" t="s">
        <v>205</v>
      </c>
      <c r="D30">
        <v>28</v>
      </c>
      <c r="E30">
        <v>22</v>
      </c>
      <c r="F30" t="s">
        <v>202</v>
      </c>
      <c r="G30" t="s">
        <v>235</v>
      </c>
    </row>
    <row r="31" spans="1:7" x14ac:dyDescent="0.3">
      <c r="A31" t="s">
        <v>205</v>
      </c>
      <c r="D31">
        <v>7</v>
      </c>
      <c r="E31">
        <v>22</v>
      </c>
      <c r="F31" t="s">
        <v>216</v>
      </c>
      <c r="G31" t="s">
        <v>235</v>
      </c>
    </row>
    <row r="32" spans="1:7" x14ac:dyDescent="0.3">
      <c r="A32" t="s">
        <v>207</v>
      </c>
      <c r="D32">
        <v>1</v>
      </c>
      <c r="E32">
        <v>34</v>
      </c>
      <c r="F32" t="s">
        <v>208</v>
      </c>
      <c r="G32" t="s">
        <v>235</v>
      </c>
    </row>
    <row r="33" spans="1:7" x14ac:dyDescent="0.3">
      <c r="A33" t="s">
        <v>198</v>
      </c>
      <c r="D33">
        <v>41</v>
      </c>
      <c r="E33">
        <v>25</v>
      </c>
      <c r="F33" t="s">
        <v>197</v>
      </c>
      <c r="G33" t="s">
        <v>235</v>
      </c>
    </row>
    <row r="34" spans="1:7" x14ac:dyDescent="0.3">
      <c r="A34" t="s">
        <v>206</v>
      </c>
      <c r="D34">
        <v>50</v>
      </c>
      <c r="E34">
        <v>11</v>
      </c>
      <c r="F34" t="s">
        <v>202</v>
      </c>
      <c r="G34" t="s">
        <v>235</v>
      </c>
    </row>
    <row r="35" spans="1:7" x14ac:dyDescent="0.3">
      <c r="A35" t="s">
        <v>217</v>
      </c>
      <c r="D35">
        <v>29</v>
      </c>
      <c r="E35">
        <v>10</v>
      </c>
      <c r="F35" t="s">
        <v>216</v>
      </c>
      <c r="G35" t="s">
        <v>235</v>
      </c>
    </row>
    <row r="36" spans="1:7" x14ac:dyDescent="0.3">
      <c r="A36" t="s">
        <v>218</v>
      </c>
      <c r="D36">
        <v>39</v>
      </c>
      <c r="E36">
        <v>8</v>
      </c>
      <c r="F36" t="s">
        <v>216</v>
      </c>
      <c r="G36" t="s">
        <v>235</v>
      </c>
    </row>
    <row r="37" spans="1:7" x14ac:dyDescent="0.3">
      <c r="A37" t="s">
        <v>219</v>
      </c>
      <c r="D37">
        <v>47</v>
      </c>
      <c r="E37">
        <v>6</v>
      </c>
      <c r="F37" t="s">
        <v>216</v>
      </c>
      <c r="G37" t="s">
        <v>235</v>
      </c>
    </row>
    <row r="38" spans="1:7" x14ac:dyDescent="0.3">
      <c r="A38" t="s">
        <v>220</v>
      </c>
      <c r="D38">
        <v>53</v>
      </c>
      <c r="E38">
        <v>9</v>
      </c>
      <c r="F38" t="s">
        <v>216</v>
      </c>
      <c r="G38" t="s">
        <v>235</v>
      </c>
    </row>
    <row r="39" spans="1:7" x14ac:dyDescent="0.3">
      <c r="A39" t="s">
        <v>209</v>
      </c>
      <c r="D39">
        <v>35</v>
      </c>
      <c r="E39">
        <v>24</v>
      </c>
      <c r="F39" t="s">
        <v>208</v>
      </c>
      <c r="G39" t="s">
        <v>235</v>
      </c>
    </row>
    <row r="40" spans="1:7" x14ac:dyDescent="0.3">
      <c r="A40" t="s">
        <v>98</v>
      </c>
      <c r="D40">
        <v>2</v>
      </c>
      <c r="E40">
        <v>91</v>
      </c>
      <c r="F40" t="s">
        <v>178</v>
      </c>
      <c r="G40" t="s">
        <v>235</v>
      </c>
    </row>
    <row r="41" spans="1:7" x14ac:dyDescent="0.3">
      <c r="A41" t="s">
        <v>149</v>
      </c>
      <c r="D41">
        <v>416</v>
      </c>
      <c r="E41">
        <v>44</v>
      </c>
      <c r="F41" t="s">
        <v>21</v>
      </c>
      <c r="G41" t="s">
        <v>235</v>
      </c>
    </row>
    <row r="42" spans="1:7" x14ac:dyDescent="0.3">
      <c r="A42" t="s">
        <v>56</v>
      </c>
      <c r="D42">
        <v>143</v>
      </c>
      <c r="E42">
        <v>5</v>
      </c>
      <c r="F42" t="s">
        <v>128</v>
      </c>
      <c r="G42" t="s">
        <v>235</v>
      </c>
    </row>
    <row r="43" spans="1:7" x14ac:dyDescent="0.3">
      <c r="A43" t="s">
        <v>147</v>
      </c>
      <c r="D43">
        <v>413</v>
      </c>
      <c r="E43">
        <v>20</v>
      </c>
      <c r="F43" t="s">
        <v>142</v>
      </c>
      <c r="G43" t="s">
        <v>235</v>
      </c>
    </row>
    <row r="44" spans="1:7" x14ac:dyDescent="0.3">
      <c r="A44" t="s">
        <v>145</v>
      </c>
      <c r="D44">
        <v>243</v>
      </c>
      <c r="E44">
        <v>42</v>
      </c>
      <c r="F44" t="s">
        <v>142</v>
      </c>
      <c r="G44" t="s">
        <v>235</v>
      </c>
    </row>
    <row r="45" spans="1:7" x14ac:dyDescent="0.3">
      <c r="A45" t="s">
        <v>129</v>
      </c>
      <c r="D45">
        <v>117</v>
      </c>
      <c r="E45">
        <v>13</v>
      </c>
      <c r="F45" t="s">
        <v>128</v>
      </c>
      <c r="G45" t="s">
        <v>235</v>
      </c>
    </row>
    <row r="46" spans="1:7" x14ac:dyDescent="0.3">
      <c r="A46" t="s">
        <v>125</v>
      </c>
      <c r="D46">
        <v>69</v>
      </c>
      <c r="E46">
        <v>52</v>
      </c>
      <c r="F46" t="s">
        <v>123</v>
      </c>
      <c r="G46" t="s">
        <v>235</v>
      </c>
    </row>
    <row r="47" spans="1:7" x14ac:dyDescent="0.3">
      <c r="A47" t="s">
        <v>89</v>
      </c>
      <c r="D47">
        <v>111</v>
      </c>
      <c r="E47">
        <v>149</v>
      </c>
      <c r="F47" t="s">
        <v>168</v>
      </c>
      <c r="G47" t="s">
        <v>235</v>
      </c>
    </row>
    <row r="48" spans="1:7" x14ac:dyDescent="0.3">
      <c r="A48" s="5" t="s">
        <v>138</v>
      </c>
      <c r="D48">
        <v>181</v>
      </c>
      <c r="E48">
        <v>18</v>
      </c>
      <c r="F48" t="s">
        <v>133</v>
      </c>
      <c r="G48" t="s">
        <v>235</v>
      </c>
    </row>
    <row r="49" spans="1:7" x14ac:dyDescent="0.3">
      <c r="A49" t="s">
        <v>150</v>
      </c>
      <c r="D49">
        <v>460</v>
      </c>
      <c r="E49">
        <v>30</v>
      </c>
      <c r="F49" t="s">
        <v>21</v>
      </c>
      <c r="G49" t="s">
        <v>235</v>
      </c>
    </row>
    <row r="50" spans="1:7" x14ac:dyDescent="0.3">
      <c r="A50" t="s">
        <v>57</v>
      </c>
      <c r="D50">
        <v>122</v>
      </c>
      <c r="E50">
        <v>67</v>
      </c>
      <c r="F50" t="s">
        <v>21</v>
      </c>
      <c r="G50" t="s">
        <v>235</v>
      </c>
    </row>
    <row r="51" spans="1:7" x14ac:dyDescent="0.3">
      <c r="A51" t="s">
        <v>79</v>
      </c>
      <c r="D51">
        <v>1</v>
      </c>
      <c r="E51">
        <v>5</v>
      </c>
      <c r="F51" t="s">
        <v>177</v>
      </c>
      <c r="G51" t="s">
        <v>235</v>
      </c>
    </row>
    <row r="52" spans="1:7" x14ac:dyDescent="0.3">
      <c r="A52" t="s">
        <v>187</v>
      </c>
      <c r="D52">
        <v>88</v>
      </c>
      <c r="E52">
        <v>13</v>
      </c>
      <c r="F52" t="s">
        <v>186</v>
      </c>
      <c r="G52" t="s">
        <v>235</v>
      </c>
    </row>
    <row r="53" spans="1:7" x14ac:dyDescent="0.3">
      <c r="A53" t="s">
        <v>113</v>
      </c>
      <c r="D53">
        <v>80</v>
      </c>
      <c r="E53">
        <v>8</v>
      </c>
      <c r="F53" t="s">
        <v>186</v>
      </c>
      <c r="G53" t="s">
        <v>235</v>
      </c>
    </row>
    <row r="54" spans="1:7" x14ac:dyDescent="0.3">
      <c r="A54" t="s">
        <v>172</v>
      </c>
      <c r="D54">
        <v>1</v>
      </c>
      <c r="E54">
        <v>28</v>
      </c>
      <c r="F54" t="s">
        <v>173</v>
      </c>
      <c r="G54" t="s">
        <v>235</v>
      </c>
    </row>
    <row r="55" spans="1:7" x14ac:dyDescent="0.3">
      <c r="A55" t="s">
        <v>81</v>
      </c>
      <c r="D55">
        <v>48</v>
      </c>
      <c r="E55">
        <v>8</v>
      </c>
      <c r="F55" t="s">
        <v>159</v>
      </c>
      <c r="G55" t="s">
        <v>235</v>
      </c>
    </row>
    <row r="56" spans="1:7" x14ac:dyDescent="0.3">
      <c r="A56" t="s">
        <v>164</v>
      </c>
      <c r="D56">
        <v>133</v>
      </c>
      <c r="E56">
        <v>145</v>
      </c>
      <c r="F56" t="s">
        <v>163</v>
      </c>
      <c r="G56" t="s">
        <v>235</v>
      </c>
    </row>
    <row r="57" spans="1:7" x14ac:dyDescent="0.3">
      <c r="A57" t="s">
        <v>214</v>
      </c>
      <c r="D57">
        <v>145</v>
      </c>
      <c r="E57">
        <v>34</v>
      </c>
      <c r="F57" t="s">
        <v>212</v>
      </c>
      <c r="G57" t="s">
        <v>235</v>
      </c>
    </row>
    <row r="58" spans="1:7" x14ac:dyDescent="0.3">
      <c r="A58" t="s">
        <v>141</v>
      </c>
      <c r="D58">
        <v>1</v>
      </c>
      <c r="E58">
        <v>63</v>
      </c>
      <c r="F58" t="s">
        <v>142</v>
      </c>
      <c r="G58" t="s">
        <v>235</v>
      </c>
    </row>
    <row r="59" spans="1:7" x14ac:dyDescent="0.3">
      <c r="A59" t="s">
        <v>169</v>
      </c>
      <c r="D59">
        <v>1</v>
      </c>
      <c r="E59">
        <v>76</v>
      </c>
      <c r="F59" t="s">
        <v>170</v>
      </c>
      <c r="G59" t="s">
        <v>235</v>
      </c>
    </row>
    <row r="60" spans="1:7" x14ac:dyDescent="0.3">
      <c r="A60" t="s">
        <v>213</v>
      </c>
      <c r="D60">
        <v>57</v>
      </c>
      <c r="E60">
        <v>88</v>
      </c>
      <c r="F60" t="s">
        <v>212</v>
      </c>
      <c r="G60" t="s">
        <v>235</v>
      </c>
    </row>
    <row r="61" spans="1:7" x14ac:dyDescent="0.3">
      <c r="A61" t="s">
        <v>160</v>
      </c>
      <c r="D61">
        <v>1</v>
      </c>
      <c r="E61">
        <v>283</v>
      </c>
      <c r="F61" t="s">
        <v>161</v>
      </c>
      <c r="G61" t="s">
        <v>235</v>
      </c>
    </row>
    <row r="62" spans="1:7" x14ac:dyDescent="0.3">
      <c r="A62" t="s">
        <v>156</v>
      </c>
      <c r="D62">
        <v>275</v>
      </c>
      <c r="E62">
        <v>35</v>
      </c>
      <c r="F62" t="s">
        <v>152</v>
      </c>
      <c r="G62" t="s">
        <v>235</v>
      </c>
    </row>
    <row r="63" spans="1:7" x14ac:dyDescent="0.3">
      <c r="A63" t="s">
        <v>157</v>
      </c>
      <c r="D63">
        <v>327</v>
      </c>
      <c r="E63">
        <v>25</v>
      </c>
      <c r="F63" t="s">
        <v>152</v>
      </c>
      <c r="G63" t="s">
        <v>235</v>
      </c>
    </row>
    <row r="64" spans="1:7" x14ac:dyDescent="0.3">
      <c r="A64" t="s">
        <v>210</v>
      </c>
      <c r="D64">
        <v>59</v>
      </c>
      <c r="E64">
        <v>4</v>
      </c>
      <c r="F64" t="s">
        <v>208</v>
      </c>
      <c r="G64" t="s">
        <v>235</v>
      </c>
    </row>
    <row r="65" spans="1:7" x14ac:dyDescent="0.3">
      <c r="A65" t="s">
        <v>100</v>
      </c>
      <c r="D65">
        <v>281</v>
      </c>
      <c r="E65">
        <v>79</v>
      </c>
      <c r="F65" t="s">
        <v>212</v>
      </c>
      <c r="G65" t="s">
        <v>235</v>
      </c>
    </row>
    <row r="66" spans="1:7" x14ac:dyDescent="0.3">
      <c r="A66" t="s">
        <v>92</v>
      </c>
      <c r="D66">
        <v>2</v>
      </c>
      <c r="E66">
        <v>55</v>
      </c>
      <c r="F66" t="s">
        <v>212</v>
      </c>
      <c r="G66" t="s">
        <v>235</v>
      </c>
    </row>
    <row r="67" spans="1:7" x14ac:dyDescent="0.3">
      <c r="A67" t="s">
        <v>148</v>
      </c>
      <c r="D67">
        <v>334</v>
      </c>
      <c r="E67">
        <v>82</v>
      </c>
      <c r="F67" t="s">
        <v>21</v>
      </c>
      <c r="G67" t="s">
        <v>235</v>
      </c>
    </row>
    <row r="68" spans="1:7" x14ac:dyDescent="0.3">
      <c r="A68" t="s">
        <v>122</v>
      </c>
      <c r="D68">
        <v>1</v>
      </c>
      <c r="E68">
        <v>13</v>
      </c>
      <c r="F68" t="s">
        <v>123</v>
      </c>
      <c r="G68" t="s">
        <v>235</v>
      </c>
    </row>
    <row r="69" spans="1:7" x14ac:dyDescent="0.3">
      <c r="A69" t="s">
        <v>124</v>
      </c>
      <c r="D69">
        <v>14</v>
      </c>
      <c r="E69">
        <v>13</v>
      </c>
      <c r="F69" t="s">
        <v>123</v>
      </c>
      <c r="G69" t="s">
        <v>235</v>
      </c>
    </row>
    <row r="70" spans="1:7" x14ac:dyDescent="0.3">
      <c r="A70" t="s">
        <v>166</v>
      </c>
      <c r="D70">
        <v>114</v>
      </c>
      <c r="E70">
        <v>9</v>
      </c>
      <c r="F70" t="s">
        <v>165</v>
      </c>
      <c r="G70" t="s">
        <v>235</v>
      </c>
    </row>
    <row r="71" spans="1:7" x14ac:dyDescent="0.3">
      <c r="A71" t="s">
        <v>167</v>
      </c>
      <c r="D71">
        <v>123</v>
      </c>
      <c r="E71">
        <v>9</v>
      </c>
      <c r="F71" t="s">
        <v>165</v>
      </c>
      <c r="G71" t="s">
        <v>235</v>
      </c>
    </row>
    <row r="72" spans="1:7" x14ac:dyDescent="0.3">
      <c r="A72" t="s">
        <v>70</v>
      </c>
      <c r="D72">
        <v>1</v>
      </c>
      <c r="E72">
        <v>9</v>
      </c>
      <c r="F72" t="s">
        <v>188</v>
      </c>
      <c r="G72" t="s">
        <v>235</v>
      </c>
    </row>
    <row r="73" spans="1:7" x14ac:dyDescent="0.3">
      <c r="A73" t="s">
        <v>64</v>
      </c>
      <c r="D73">
        <v>89</v>
      </c>
      <c r="E73">
        <v>12</v>
      </c>
      <c r="F73" t="s">
        <v>173</v>
      </c>
      <c r="G73" t="s">
        <v>235</v>
      </c>
    </row>
    <row r="74" spans="1:7" x14ac:dyDescent="0.3">
      <c r="A74" s="5" t="s">
        <v>63</v>
      </c>
      <c r="B74" s="5"/>
      <c r="C74" s="5"/>
      <c r="D74" s="5">
        <v>101</v>
      </c>
      <c r="E74" s="5">
        <v>9</v>
      </c>
      <c r="F74" s="5" t="s">
        <v>173</v>
      </c>
      <c r="G74" s="5" t="s">
        <v>235</v>
      </c>
    </row>
    <row r="75" spans="1:7" x14ac:dyDescent="0.3">
      <c r="A75" t="s">
        <v>58</v>
      </c>
      <c r="D75">
        <v>189</v>
      </c>
      <c r="E75">
        <v>77</v>
      </c>
      <c r="F75" t="s">
        <v>21</v>
      </c>
      <c r="G75" t="s">
        <v>235</v>
      </c>
    </row>
    <row r="76" spans="1:7" x14ac:dyDescent="0.3">
      <c r="A76" t="s">
        <v>104</v>
      </c>
      <c r="D76">
        <v>65</v>
      </c>
      <c r="E76">
        <v>57</v>
      </c>
      <c r="F76" t="s">
        <v>195</v>
      </c>
      <c r="G76" t="s">
        <v>235</v>
      </c>
    </row>
    <row r="77" spans="1:7" x14ac:dyDescent="0.3">
      <c r="A77" t="s">
        <v>131</v>
      </c>
      <c r="D77">
        <v>232</v>
      </c>
      <c r="E77">
        <v>7</v>
      </c>
      <c r="F77" t="s">
        <v>128</v>
      </c>
      <c r="G77" t="s">
        <v>235</v>
      </c>
    </row>
    <row r="78" spans="1:7" x14ac:dyDescent="0.3">
      <c r="A78" t="s">
        <v>136</v>
      </c>
      <c r="D78">
        <v>94</v>
      </c>
      <c r="E78">
        <v>34</v>
      </c>
      <c r="F78" t="s">
        <v>133</v>
      </c>
      <c r="G78" t="s">
        <v>235</v>
      </c>
    </row>
    <row r="79" spans="1:7" x14ac:dyDescent="0.3">
      <c r="A79" t="s">
        <v>94</v>
      </c>
      <c r="D79">
        <v>179</v>
      </c>
      <c r="E79">
        <v>87</v>
      </c>
      <c r="F79" t="s">
        <v>212</v>
      </c>
      <c r="G79" t="s">
        <v>235</v>
      </c>
    </row>
    <row r="80" spans="1:7" x14ac:dyDescent="0.3">
      <c r="A80" t="s">
        <v>143</v>
      </c>
      <c r="D80">
        <v>64</v>
      </c>
      <c r="E80">
        <v>141</v>
      </c>
      <c r="F80" t="s">
        <v>142</v>
      </c>
      <c r="G80" t="s">
        <v>235</v>
      </c>
    </row>
    <row r="81" spans="1:7" x14ac:dyDescent="0.3">
      <c r="A81" t="s">
        <v>60</v>
      </c>
      <c r="D81">
        <v>1</v>
      </c>
      <c r="E81">
        <v>47</v>
      </c>
      <c r="F81" t="s">
        <v>159</v>
      </c>
      <c r="G81" t="s">
        <v>235</v>
      </c>
    </row>
    <row r="82" spans="1:7" x14ac:dyDescent="0.3">
      <c r="A82" t="s">
        <v>158</v>
      </c>
      <c r="D82">
        <v>352</v>
      </c>
      <c r="E82">
        <v>21</v>
      </c>
      <c r="F82" t="s">
        <v>152</v>
      </c>
      <c r="G82" t="s">
        <v>235</v>
      </c>
    </row>
    <row r="83" spans="1:7" x14ac:dyDescent="0.3">
      <c r="A83" t="s">
        <v>127</v>
      </c>
      <c r="D83">
        <v>128</v>
      </c>
      <c r="E83">
        <v>37</v>
      </c>
      <c r="F83" t="s">
        <v>123</v>
      </c>
      <c r="G83" t="s">
        <v>235</v>
      </c>
    </row>
    <row r="84" spans="1:7" x14ac:dyDescent="0.3">
      <c r="A84" t="s">
        <v>96</v>
      </c>
      <c r="D84">
        <v>167</v>
      </c>
      <c r="E84">
        <v>51</v>
      </c>
      <c r="F84" t="s">
        <v>178</v>
      </c>
      <c r="G84" t="s">
        <v>235</v>
      </c>
    </row>
    <row r="85" spans="1:7" x14ac:dyDescent="0.3">
      <c r="A85" t="s">
        <v>118</v>
      </c>
      <c r="D85">
        <v>19</v>
      </c>
      <c r="E85">
        <v>6</v>
      </c>
      <c r="F85" t="s">
        <v>117</v>
      </c>
      <c r="G85" t="s">
        <v>235</v>
      </c>
    </row>
    <row r="86" spans="1:7" x14ac:dyDescent="0.3">
      <c r="A86" t="s">
        <v>174</v>
      </c>
      <c r="D86">
        <v>29</v>
      </c>
      <c r="E86">
        <v>53</v>
      </c>
      <c r="F86" t="s">
        <v>173</v>
      </c>
      <c r="G86" t="s">
        <v>235</v>
      </c>
    </row>
    <row r="87" spans="1:7" x14ac:dyDescent="0.3">
      <c r="A87" t="s">
        <v>154</v>
      </c>
      <c r="D87">
        <v>198</v>
      </c>
      <c r="E87">
        <v>34</v>
      </c>
      <c r="F87" t="s">
        <v>152</v>
      </c>
      <c r="G87" t="s">
        <v>235</v>
      </c>
    </row>
    <row r="88" spans="1:7" x14ac:dyDescent="0.3">
      <c r="A88" t="s">
        <v>155</v>
      </c>
      <c r="D88">
        <v>232</v>
      </c>
      <c r="E88">
        <v>43</v>
      </c>
      <c r="F88" t="s">
        <v>152</v>
      </c>
      <c r="G88" t="s">
        <v>235</v>
      </c>
    </row>
    <row r="89" spans="1:7" x14ac:dyDescent="0.3">
      <c r="A89" t="s">
        <v>107</v>
      </c>
      <c r="D89">
        <v>1</v>
      </c>
      <c r="E89">
        <v>34</v>
      </c>
      <c r="F89" t="s">
        <v>186</v>
      </c>
      <c r="G89" t="s">
        <v>235</v>
      </c>
    </row>
    <row r="90" spans="1:7" x14ac:dyDescent="0.3">
      <c r="A90" t="s">
        <v>109</v>
      </c>
      <c r="D90">
        <v>35</v>
      </c>
      <c r="E90">
        <v>20</v>
      </c>
      <c r="F90" t="s">
        <v>186</v>
      </c>
      <c r="G90" t="s">
        <v>235</v>
      </c>
    </row>
    <row r="91" spans="1:7" x14ac:dyDescent="0.3">
      <c r="A91" t="s">
        <v>180</v>
      </c>
      <c r="D91">
        <v>7</v>
      </c>
      <c r="E91">
        <v>43</v>
      </c>
      <c r="F91" t="s">
        <v>181</v>
      </c>
      <c r="G91" t="s">
        <v>235</v>
      </c>
    </row>
    <row r="92" spans="1:7" x14ac:dyDescent="0.3">
      <c r="A92" t="s">
        <v>183</v>
      </c>
      <c r="D92">
        <v>103</v>
      </c>
      <c r="E92">
        <v>23</v>
      </c>
      <c r="F92" t="s">
        <v>181</v>
      </c>
      <c r="G92" t="s">
        <v>235</v>
      </c>
    </row>
    <row r="93" spans="1:7" x14ac:dyDescent="0.3">
      <c r="A93" t="s">
        <v>179</v>
      </c>
      <c r="D93">
        <v>106</v>
      </c>
      <c r="E93">
        <v>7</v>
      </c>
      <c r="F93" t="s">
        <v>178</v>
      </c>
      <c r="G93" t="s">
        <v>235</v>
      </c>
    </row>
    <row r="94" spans="1:7" x14ac:dyDescent="0.3">
      <c r="A94" t="s">
        <v>61</v>
      </c>
      <c r="D94">
        <v>1</v>
      </c>
      <c r="E94">
        <v>110</v>
      </c>
      <c r="F94" t="s">
        <v>168</v>
      </c>
      <c r="G94" t="s">
        <v>235</v>
      </c>
    </row>
    <row r="95" spans="1:7" x14ac:dyDescent="0.3">
      <c r="A95" t="s">
        <v>176</v>
      </c>
      <c r="D95">
        <v>110</v>
      </c>
      <c r="E95">
        <v>41</v>
      </c>
      <c r="F95" t="s">
        <v>173</v>
      </c>
      <c r="G95" t="s">
        <v>235</v>
      </c>
    </row>
    <row r="96" spans="1:7" x14ac:dyDescent="0.3">
      <c r="A96" t="s">
        <v>73</v>
      </c>
      <c r="D96">
        <v>77</v>
      </c>
      <c r="E96">
        <v>46</v>
      </c>
      <c r="F96" t="s">
        <v>170</v>
      </c>
      <c r="G96" t="s">
        <v>235</v>
      </c>
    </row>
    <row r="97" spans="1:7" x14ac:dyDescent="0.3">
      <c r="A97" t="s">
        <v>171</v>
      </c>
      <c r="D97">
        <v>123</v>
      </c>
      <c r="E97">
        <v>58</v>
      </c>
      <c r="F97" t="s">
        <v>170</v>
      </c>
      <c r="G97" t="s">
        <v>235</v>
      </c>
    </row>
    <row r="98" spans="1:7" x14ac:dyDescent="0.3">
      <c r="A98" t="s">
        <v>77</v>
      </c>
      <c r="D98">
        <v>5</v>
      </c>
      <c r="E98">
        <v>134</v>
      </c>
      <c r="F98" t="s">
        <v>152</v>
      </c>
      <c r="G98" t="s">
        <v>235</v>
      </c>
    </row>
    <row r="99" spans="1:7" x14ac:dyDescent="0.3">
      <c r="A99" t="s">
        <v>211</v>
      </c>
      <c r="D99">
        <v>63</v>
      </c>
      <c r="E99">
        <v>6</v>
      </c>
      <c r="F99" t="s">
        <v>208</v>
      </c>
      <c r="G99" t="s">
        <v>235</v>
      </c>
    </row>
    <row r="100" spans="1:7" x14ac:dyDescent="0.3">
      <c r="A100" t="s">
        <v>182</v>
      </c>
      <c r="D100">
        <v>50</v>
      </c>
      <c r="E100">
        <v>53</v>
      </c>
      <c r="F100" t="s">
        <v>181</v>
      </c>
      <c r="G100" t="s">
        <v>235</v>
      </c>
    </row>
    <row r="101" spans="1:7" x14ac:dyDescent="0.3">
      <c r="A101" t="s">
        <v>165</v>
      </c>
      <c r="D101">
        <v>1</v>
      </c>
      <c r="E101">
        <v>113</v>
      </c>
      <c r="F101" t="s">
        <v>165</v>
      </c>
      <c r="G101" t="s">
        <v>235</v>
      </c>
    </row>
    <row r="102" spans="1:7" x14ac:dyDescent="0.3">
      <c r="A102" t="s">
        <v>66</v>
      </c>
      <c r="D102">
        <v>126</v>
      </c>
      <c r="E102">
        <v>19</v>
      </c>
      <c r="F102" t="s">
        <v>181</v>
      </c>
      <c r="G102" t="s">
        <v>235</v>
      </c>
    </row>
    <row r="103" spans="1:7" x14ac:dyDescent="0.3">
      <c r="A103" t="s">
        <v>175</v>
      </c>
      <c r="D103">
        <v>82</v>
      </c>
      <c r="E103">
        <v>7</v>
      </c>
      <c r="F103" t="s">
        <v>173</v>
      </c>
      <c r="G103" t="s">
        <v>235</v>
      </c>
    </row>
    <row r="104" spans="1:7" x14ac:dyDescent="0.3">
      <c r="A104" t="s">
        <v>53</v>
      </c>
      <c r="D104">
        <v>130</v>
      </c>
      <c r="E104">
        <v>13</v>
      </c>
      <c r="F104" t="s">
        <v>128</v>
      </c>
      <c r="G104" t="s">
        <v>235</v>
      </c>
    </row>
    <row r="105" spans="1:7" x14ac:dyDescent="0.3">
      <c r="A105" t="s">
        <v>140</v>
      </c>
      <c r="D105">
        <v>6</v>
      </c>
      <c r="E105">
        <v>258</v>
      </c>
      <c r="F105" t="s">
        <v>139</v>
      </c>
      <c r="G105" t="s">
        <v>235</v>
      </c>
    </row>
    <row r="106" spans="1:7" x14ac:dyDescent="0.3">
      <c r="A106" t="s">
        <v>185</v>
      </c>
      <c r="D106">
        <v>10</v>
      </c>
      <c r="E106">
        <v>311</v>
      </c>
      <c r="F106" t="s">
        <v>184</v>
      </c>
      <c r="G106" t="s">
        <v>235</v>
      </c>
    </row>
    <row r="107" spans="1:7" x14ac:dyDescent="0.3">
      <c r="A107" t="s">
        <v>111</v>
      </c>
      <c r="D107">
        <v>55</v>
      </c>
      <c r="E107">
        <v>25</v>
      </c>
      <c r="F107" t="s">
        <v>186</v>
      </c>
      <c r="G107" t="s">
        <v>235</v>
      </c>
    </row>
    <row r="108" spans="1:7" x14ac:dyDescent="0.3">
      <c r="A108" t="s">
        <v>199</v>
      </c>
      <c r="D108">
        <v>66</v>
      </c>
      <c r="E108">
        <v>4</v>
      </c>
      <c r="F108" t="s">
        <v>197</v>
      </c>
      <c r="G108" t="s">
        <v>235</v>
      </c>
    </row>
    <row r="109" spans="1:7" x14ac:dyDescent="0.3">
      <c r="A109" t="s">
        <v>199</v>
      </c>
      <c r="D109">
        <v>62</v>
      </c>
      <c r="E109">
        <v>5</v>
      </c>
      <c r="F109" t="s">
        <v>216</v>
      </c>
      <c r="G109" t="s">
        <v>235</v>
      </c>
    </row>
    <row r="110" spans="1:7" x14ac:dyDescent="0.3">
      <c r="A110" t="s">
        <v>200</v>
      </c>
      <c r="D110">
        <v>70</v>
      </c>
      <c r="E110">
        <v>6</v>
      </c>
      <c r="F110" t="s">
        <v>197</v>
      </c>
      <c r="G110" t="s">
        <v>235</v>
      </c>
    </row>
    <row r="111" spans="1:7" x14ac:dyDescent="0.3">
      <c r="A111" t="s">
        <v>200</v>
      </c>
      <c r="D111">
        <v>67</v>
      </c>
      <c r="E111">
        <v>6</v>
      </c>
      <c r="F111" t="s">
        <v>216</v>
      </c>
      <c r="G111" t="s">
        <v>235</v>
      </c>
    </row>
    <row r="112" spans="1:7" x14ac:dyDescent="0.3">
      <c r="A112" s="5" t="s">
        <v>162</v>
      </c>
      <c r="D112" s="5">
        <v>1</v>
      </c>
      <c r="E112" s="5">
        <v>132</v>
      </c>
      <c r="F112" t="s">
        <v>163</v>
      </c>
      <c r="G112" t="s">
        <v>235</v>
      </c>
    </row>
    <row r="113" spans="1:7" x14ac:dyDescent="0.3">
      <c r="A113" t="s">
        <v>116</v>
      </c>
      <c r="D113">
        <v>1</v>
      </c>
      <c r="E113">
        <v>18</v>
      </c>
      <c r="F113" t="s">
        <v>117</v>
      </c>
      <c r="G113" t="s">
        <v>235</v>
      </c>
    </row>
    <row r="114" spans="1:7" x14ac:dyDescent="0.3">
      <c r="A114" t="s">
        <v>121</v>
      </c>
      <c r="D114">
        <v>86</v>
      </c>
      <c r="E114">
        <v>12</v>
      </c>
      <c r="F114" t="s">
        <v>120</v>
      </c>
      <c r="G114" t="s">
        <v>235</v>
      </c>
    </row>
    <row r="115" spans="1:7" x14ac:dyDescent="0.3">
      <c r="A115" t="s">
        <v>132</v>
      </c>
      <c r="D115">
        <v>31</v>
      </c>
      <c r="E115">
        <v>22</v>
      </c>
      <c r="F115" t="s">
        <v>133</v>
      </c>
      <c r="G115" t="s">
        <v>235</v>
      </c>
    </row>
    <row r="116" spans="1:7" x14ac:dyDescent="0.3">
      <c r="A116" t="s">
        <v>119</v>
      </c>
      <c r="D116">
        <v>4</v>
      </c>
      <c r="E116">
        <v>82</v>
      </c>
      <c r="F116" t="s">
        <v>120</v>
      </c>
      <c r="G116" t="s">
        <v>235</v>
      </c>
    </row>
    <row r="117" spans="1:7" x14ac:dyDescent="0.3">
      <c r="A117" t="s">
        <v>153</v>
      </c>
      <c r="D117">
        <v>179</v>
      </c>
      <c r="E117">
        <v>19</v>
      </c>
      <c r="F117" t="s">
        <v>152</v>
      </c>
      <c r="G117" t="s">
        <v>235</v>
      </c>
    </row>
    <row r="118" spans="1:7" x14ac:dyDescent="0.3">
      <c r="A118" t="s">
        <v>67</v>
      </c>
      <c r="D118">
        <v>1</v>
      </c>
      <c r="E118">
        <v>45</v>
      </c>
      <c r="F118" t="s">
        <v>195</v>
      </c>
      <c r="G118" t="s">
        <v>235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61"/>
  <sheetViews>
    <sheetView topLeftCell="A10" workbookViewId="0">
      <selection activeCell="L17" sqref="L17"/>
    </sheetView>
  </sheetViews>
  <sheetFormatPr defaultRowHeight="14.4" x14ac:dyDescent="0.3"/>
  <sheetData>
    <row r="1" spans="1:32" x14ac:dyDescent="0.3">
      <c r="O1" t="s">
        <v>3001</v>
      </c>
      <c r="P1" t="s">
        <v>2825</v>
      </c>
      <c r="Q1" t="s">
        <v>3003</v>
      </c>
      <c r="R1" t="s">
        <v>3004</v>
      </c>
      <c r="S1" t="s">
        <v>3078</v>
      </c>
      <c r="AB1" t="s">
        <v>3070</v>
      </c>
      <c r="AC1" t="s">
        <v>3071</v>
      </c>
      <c r="AD1" t="s">
        <v>3072</v>
      </c>
    </row>
    <row r="2" spans="1:32" x14ac:dyDescent="0.3">
      <c r="N2" t="s">
        <v>223</v>
      </c>
      <c r="O2">
        <v>16</v>
      </c>
      <c r="P2">
        <v>5</v>
      </c>
      <c r="Q2" t="b">
        <v>1</v>
      </c>
      <c r="R2" t="b">
        <v>1</v>
      </c>
      <c r="S2">
        <v>0</v>
      </c>
      <c r="T2" t="s">
        <v>3010</v>
      </c>
      <c r="U2" t="s">
        <v>3029</v>
      </c>
      <c r="W2" t="s">
        <v>3052</v>
      </c>
      <c r="Y2" t="s">
        <v>3002</v>
      </c>
      <c r="Z2" t="s">
        <v>3053</v>
      </c>
      <c r="AB2" t="s">
        <v>3074</v>
      </c>
      <c r="AC2">
        <v>81</v>
      </c>
      <c r="AD2">
        <v>73</v>
      </c>
      <c r="AF2" t="s">
        <v>3127</v>
      </c>
    </row>
    <row r="3" spans="1:32" x14ac:dyDescent="0.3">
      <c r="N3" t="s">
        <v>3092</v>
      </c>
      <c r="O3">
        <v>13</v>
      </c>
      <c r="P3">
        <v>3</v>
      </c>
      <c r="Q3" t="b">
        <v>0</v>
      </c>
      <c r="S3">
        <v>0</v>
      </c>
      <c r="T3" t="s">
        <v>3011</v>
      </c>
      <c r="U3" t="s">
        <v>3030</v>
      </c>
      <c r="W3">
        <v>7</v>
      </c>
      <c r="Y3" t="s">
        <v>3054</v>
      </c>
      <c r="Z3" t="s">
        <v>3056</v>
      </c>
      <c r="AB3" t="s">
        <v>3077</v>
      </c>
      <c r="AC3">
        <v>94</v>
      </c>
      <c r="AD3">
        <v>81</v>
      </c>
      <c r="AF3">
        <v>83</v>
      </c>
    </row>
    <row r="4" spans="1:32" x14ac:dyDescent="0.3">
      <c r="A4" t="s">
        <v>2818</v>
      </c>
      <c r="B4" t="s">
        <v>2819</v>
      </c>
      <c r="C4" t="s">
        <v>2820</v>
      </c>
      <c r="D4" t="s">
        <v>2821</v>
      </c>
      <c r="E4" t="s">
        <v>2822</v>
      </c>
      <c r="F4" t="s">
        <v>2823</v>
      </c>
      <c r="G4" t="s">
        <v>2824</v>
      </c>
      <c r="H4" t="s">
        <v>2825</v>
      </c>
      <c r="N4" t="s">
        <v>3093</v>
      </c>
      <c r="O4">
        <v>13</v>
      </c>
      <c r="P4">
        <v>4</v>
      </c>
      <c r="Q4" t="b">
        <v>0</v>
      </c>
      <c r="S4">
        <v>0</v>
      </c>
      <c r="T4" t="s">
        <v>3014</v>
      </c>
      <c r="U4" t="s">
        <v>3031</v>
      </c>
      <c r="W4">
        <v>8</v>
      </c>
      <c r="Y4" t="s">
        <v>3055</v>
      </c>
      <c r="Z4" t="s">
        <v>3057</v>
      </c>
      <c r="AB4" t="s">
        <v>3073</v>
      </c>
      <c r="AC4">
        <v>81</v>
      </c>
      <c r="AD4">
        <v>73</v>
      </c>
      <c r="AF4">
        <v>79</v>
      </c>
    </row>
    <row r="5" spans="1:32" x14ac:dyDescent="0.3">
      <c r="A5" t="s">
        <v>2826</v>
      </c>
      <c r="B5" t="s">
        <v>2827</v>
      </c>
      <c r="C5" t="s">
        <v>2828</v>
      </c>
      <c r="D5" t="s">
        <v>2828</v>
      </c>
      <c r="E5">
        <v>0</v>
      </c>
      <c r="F5">
        <v>0</v>
      </c>
      <c r="G5">
        <v>0</v>
      </c>
      <c r="H5" t="s">
        <v>2829</v>
      </c>
      <c r="I5">
        <v>1</v>
      </c>
      <c r="J5" t="s">
        <v>3145</v>
      </c>
      <c r="K5" t="s">
        <v>2943</v>
      </c>
      <c r="N5" t="s">
        <v>3094</v>
      </c>
      <c r="O5">
        <v>12</v>
      </c>
      <c r="P5">
        <v>43</v>
      </c>
      <c r="Q5" t="b">
        <v>0</v>
      </c>
      <c r="S5">
        <v>0</v>
      </c>
      <c r="T5" t="s">
        <v>3012</v>
      </c>
      <c r="U5" t="s">
        <v>3032</v>
      </c>
      <c r="W5">
        <v>9</v>
      </c>
      <c r="AB5" t="s">
        <v>3075</v>
      </c>
      <c r="AC5">
        <v>81</v>
      </c>
      <c r="AD5">
        <v>76</v>
      </c>
      <c r="AF5">
        <v>69</v>
      </c>
    </row>
    <row r="6" spans="1:32" x14ac:dyDescent="0.3">
      <c r="A6" t="s">
        <v>2830</v>
      </c>
      <c r="B6" t="s">
        <v>2831</v>
      </c>
      <c r="C6" t="s">
        <v>2832</v>
      </c>
      <c r="D6" t="s">
        <v>2832</v>
      </c>
      <c r="E6">
        <v>255</v>
      </c>
      <c r="F6">
        <v>255</v>
      </c>
      <c r="G6">
        <v>255</v>
      </c>
      <c r="H6" t="s">
        <v>2833</v>
      </c>
      <c r="I6">
        <v>2</v>
      </c>
      <c r="J6" t="s">
        <v>3145</v>
      </c>
      <c r="K6" t="s">
        <v>2958</v>
      </c>
      <c r="N6" t="s">
        <v>2999</v>
      </c>
      <c r="O6">
        <v>12</v>
      </c>
      <c r="P6">
        <v>1</v>
      </c>
      <c r="Q6" t="b">
        <v>0</v>
      </c>
      <c r="S6">
        <v>0</v>
      </c>
      <c r="T6" t="s">
        <v>3013</v>
      </c>
      <c r="U6" t="s">
        <v>3033</v>
      </c>
      <c r="W6">
        <v>10</v>
      </c>
      <c r="Y6" t="s">
        <v>3128</v>
      </c>
      <c r="AB6" t="s">
        <v>3076</v>
      </c>
      <c r="AC6">
        <v>81</v>
      </c>
      <c r="AD6">
        <v>73</v>
      </c>
      <c r="AF6">
        <v>62</v>
      </c>
    </row>
    <row r="7" spans="1:32" x14ac:dyDescent="0.3">
      <c r="A7" t="s">
        <v>2834</v>
      </c>
      <c r="B7" t="s">
        <v>2835</v>
      </c>
      <c r="C7" t="s">
        <v>2836</v>
      </c>
      <c r="D7" t="s">
        <v>2836</v>
      </c>
      <c r="E7">
        <v>255</v>
      </c>
      <c r="F7">
        <v>0</v>
      </c>
      <c r="G7">
        <v>0</v>
      </c>
      <c r="H7" t="s">
        <v>2837</v>
      </c>
      <c r="I7">
        <v>3</v>
      </c>
      <c r="J7" t="s">
        <v>3145</v>
      </c>
      <c r="K7" t="s">
        <v>2944</v>
      </c>
      <c r="O7" t="s">
        <v>3002</v>
      </c>
      <c r="P7">
        <v>1</v>
      </c>
      <c r="T7" t="s">
        <v>3015</v>
      </c>
      <c r="U7" t="s">
        <v>3034</v>
      </c>
      <c r="W7">
        <v>11</v>
      </c>
      <c r="Y7" t="s">
        <v>3129</v>
      </c>
      <c r="AF7">
        <v>115</v>
      </c>
    </row>
    <row r="8" spans="1:32" x14ac:dyDescent="0.3">
      <c r="A8" t="s">
        <v>2823</v>
      </c>
      <c r="B8" t="s">
        <v>2838</v>
      </c>
      <c r="C8" t="s">
        <v>2839</v>
      </c>
      <c r="D8" t="s">
        <v>2839</v>
      </c>
      <c r="E8">
        <v>0</v>
      </c>
      <c r="F8">
        <v>255</v>
      </c>
      <c r="G8">
        <v>0</v>
      </c>
      <c r="H8" t="s">
        <v>2840</v>
      </c>
      <c r="I8">
        <v>4</v>
      </c>
      <c r="J8" t="s">
        <v>3145</v>
      </c>
      <c r="K8" t="s">
        <v>2945</v>
      </c>
      <c r="N8" t="s">
        <v>3000</v>
      </c>
      <c r="O8">
        <v>12</v>
      </c>
      <c r="P8">
        <v>1</v>
      </c>
      <c r="Q8" t="s">
        <v>3055</v>
      </c>
      <c r="S8">
        <v>0</v>
      </c>
      <c r="T8" t="s">
        <v>3016</v>
      </c>
      <c r="U8" t="s">
        <v>3035</v>
      </c>
      <c r="W8">
        <v>12</v>
      </c>
      <c r="Y8" t="s">
        <v>3130</v>
      </c>
      <c r="AF8">
        <v>107</v>
      </c>
    </row>
    <row r="9" spans="1:32" x14ac:dyDescent="0.3">
      <c r="A9" t="s">
        <v>2824</v>
      </c>
      <c r="B9" t="s">
        <v>2841</v>
      </c>
      <c r="C9" t="s">
        <v>2842</v>
      </c>
      <c r="D9" t="s">
        <v>2842</v>
      </c>
      <c r="E9">
        <v>0</v>
      </c>
      <c r="F9">
        <v>0</v>
      </c>
      <c r="G9">
        <v>255</v>
      </c>
      <c r="H9" t="s">
        <v>2843</v>
      </c>
      <c r="I9">
        <v>5</v>
      </c>
      <c r="J9" t="s">
        <v>3145</v>
      </c>
      <c r="K9" t="s">
        <v>2946</v>
      </c>
      <c r="N9" t="s">
        <v>3106</v>
      </c>
      <c r="O9">
        <v>12</v>
      </c>
      <c r="P9">
        <v>0</v>
      </c>
      <c r="Q9" t="s">
        <v>3054</v>
      </c>
      <c r="S9">
        <v>0</v>
      </c>
      <c r="T9" t="s">
        <v>3017</v>
      </c>
      <c r="U9" t="s">
        <v>3036</v>
      </c>
      <c r="W9">
        <v>13</v>
      </c>
      <c r="AF9">
        <v>100</v>
      </c>
    </row>
    <row r="10" spans="1:32" x14ac:dyDescent="0.3">
      <c r="A10" t="s">
        <v>2844</v>
      </c>
      <c r="B10" t="s">
        <v>2845</v>
      </c>
      <c r="C10" t="s">
        <v>2846</v>
      </c>
      <c r="D10" t="s">
        <v>2846</v>
      </c>
      <c r="E10">
        <v>255</v>
      </c>
      <c r="F10">
        <v>255</v>
      </c>
      <c r="G10">
        <v>0</v>
      </c>
      <c r="H10" t="s">
        <v>2847</v>
      </c>
      <c r="I10">
        <v>6</v>
      </c>
      <c r="J10" t="s">
        <v>3145</v>
      </c>
      <c r="K10" t="s">
        <v>2947</v>
      </c>
      <c r="O10">
        <v>6</v>
      </c>
      <c r="P10">
        <v>0</v>
      </c>
      <c r="S10">
        <v>0</v>
      </c>
      <c r="T10" t="s">
        <v>3018</v>
      </c>
      <c r="U10" t="s">
        <v>3037</v>
      </c>
      <c r="W10">
        <v>14</v>
      </c>
      <c r="Y10">
        <v>0</v>
      </c>
      <c r="Z10" t="s">
        <v>3058</v>
      </c>
      <c r="AF10">
        <v>93</v>
      </c>
    </row>
    <row r="11" spans="1:32" x14ac:dyDescent="0.3">
      <c r="A11" t="s">
        <v>2848</v>
      </c>
      <c r="B11" t="s">
        <v>2849</v>
      </c>
      <c r="C11" t="s">
        <v>2850</v>
      </c>
      <c r="D11" t="s">
        <v>2850</v>
      </c>
      <c r="E11">
        <v>255</v>
      </c>
      <c r="F11">
        <v>0</v>
      </c>
      <c r="G11">
        <v>255</v>
      </c>
      <c r="H11" t="s">
        <v>2851</v>
      </c>
      <c r="I11">
        <v>7</v>
      </c>
      <c r="J11" t="s">
        <v>3168</v>
      </c>
      <c r="K11" t="s">
        <v>2948</v>
      </c>
      <c r="N11" t="s">
        <v>3103</v>
      </c>
      <c r="O11">
        <v>12</v>
      </c>
      <c r="P11">
        <v>0</v>
      </c>
      <c r="Q11" t="s">
        <v>3054</v>
      </c>
      <c r="S11">
        <v>0</v>
      </c>
      <c r="T11" t="s">
        <v>3019</v>
      </c>
      <c r="U11" t="s">
        <v>3038</v>
      </c>
      <c r="W11">
        <v>15</v>
      </c>
      <c r="Z11" t="s">
        <v>3131</v>
      </c>
    </row>
    <row r="12" spans="1:32" x14ac:dyDescent="0.3">
      <c r="A12" t="s">
        <v>2852</v>
      </c>
      <c r="B12" t="s">
        <v>2853</v>
      </c>
      <c r="C12" t="s">
        <v>2854</v>
      </c>
      <c r="D12" t="s">
        <v>2854</v>
      </c>
      <c r="E12">
        <v>0</v>
      </c>
      <c r="F12">
        <v>255</v>
      </c>
      <c r="G12">
        <v>255</v>
      </c>
      <c r="H12" t="s">
        <v>2855</v>
      </c>
      <c r="I12">
        <v>8</v>
      </c>
      <c r="J12" t="s">
        <v>3169</v>
      </c>
      <c r="K12" t="s">
        <v>2949</v>
      </c>
      <c r="N12" t="s">
        <v>3044</v>
      </c>
      <c r="O12">
        <v>5</v>
      </c>
      <c r="P12">
        <v>1</v>
      </c>
      <c r="S12">
        <v>0</v>
      </c>
      <c r="T12" t="s">
        <v>3020</v>
      </c>
      <c r="U12" t="s">
        <v>3039</v>
      </c>
      <c r="W12">
        <v>16</v>
      </c>
      <c r="Z12" t="s">
        <v>3132</v>
      </c>
    </row>
    <row r="13" spans="1:32" x14ac:dyDescent="0.3">
      <c r="A13" t="s">
        <v>2856</v>
      </c>
      <c r="B13" t="s">
        <v>2856</v>
      </c>
      <c r="C13" t="s">
        <v>2857</v>
      </c>
      <c r="D13" t="s">
        <v>2857</v>
      </c>
      <c r="E13">
        <v>128</v>
      </c>
      <c r="F13">
        <v>0</v>
      </c>
      <c r="G13">
        <v>0</v>
      </c>
      <c r="H13" t="s">
        <v>2856</v>
      </c>
      <c r="I13">
        <v>9</v>
      </c>
      <c r="J13" t="s">
        <v>3170</v>
      </c>
      <c r="K13" t="s">
        <v>2950</v>
      </c>
      <c r="N13" t="s">
        <v>3047</v>
      </c>
      <c r="O13" t="s">
        <v>3054</v>
      </c>
      <c r="T13" t="s">
        <v>3021</v>
      </c>
      <c r="U13" t="s">
        <v>3040</v>
      </c>
      <c r="W13">
        <v>20</v>
      </c>
    </row>
    <row r="14" spans="1:32" x14ac:dyDescent="0.3">
      <c r="A14" t="s">
        <v>2858</v>
      </c>
      <c r="B14" t="s">
        <v>2858</v>
      </c>
      <c r="C14" t="s">
        <v>2859</v>
      </c>
      <c r="D14" t="s">
        <v>2859</v>
      </c>
      <c r="E14">
        <v>0</v>
      </c>
      <c r="F14">
        <v>128</v>
      </c>
      <c r="G14">
        <v>0</v>
      </c>
      <c r="H14" t="s">
        <v>2858</v>
      </c>
      <c r="I14">
        <v>10</v>
      </c>
      <c r="J14" t="s">
        <v>3171</v>
      </c>
      <c r="K14" t="s">
        <v>2951</v>
      </c>
      <c r="O14" t="s">
        <v>3006</v>
      </c>
      <c r="T14" t="s">
        <v>3022</v>
      </c>
      <c r="U14" t="s">
        <v>3041</v>
      </c>
      <c r="Y14" t="s">
        <v>3141</v>
      </c>
    </row>
    <row r="15" spans="1:32" x14ac:dyDescent="0.3">
      <c r="A15" t="s">
        <v>2860</v>
      </c>
      <c r="B15" t="s">
        <v>2860</v>
      </c>
      <c r="C15" t="s">
        <v>2861</v>
      </c>
      <c r="D15" t="s">
        <v>2861</v>
      </c>
      <c r="E15">
        <v>0</v>
      </c>
      <c r="F15">
        <v>0</v>
      </c>
      <c r="G15">
        <v>128</v>
      </c>
      <c r="H15" t="s">
        <v>2860</v>
      </c>
      <c r="I15">
        <v>11</v>
      </c>
      <c r="J15" t="s">
        <v>3172</v>
      </c>
      <c r="K15" t="s">
        <v>2952</v>
      </c>
      <c r="N15" t="s">
        <v>3005</v>
      </c>
      <c r="O15">
        <v>1</v>
      </c>
      <c r="T15" t="s">
        <v>3023</v>
      </c>
      <c r="U15" t="s">
        <v>3042</v>
      </c>
      <c r="Y15" t="s">
        <v>3142</v>
      </c>
    </row>
    <row r="16" spans="1:32" x14ac:dyDescent="0.3">
      <c r="A16" t="s">
        <v>2862</v>
      </c>
      <c r="B16" t="s">
        <v>2862</v>
      </c>
      <c r="C16" t="s">
        <v>2863</v>
      </c>
      <c r="D16" t="s">
        <v>2863</v>
      </c>
      <c r="E16">
        <v>128</v>
      </c>
      <c r="F16">
        <v>128</v>
      </c>
      <c r="G16">
        <v>0</v>
      </c>
      <c r="H16" t="s">
        <v>2862</v>
      </c>
      <c r="I16">
        <v>12</v>
      </c>
      <c r="J16" t="s">
        <v>3173</v>
      </c>
      <c r="K16" t="s">
        <v>2953</v>
      </c>
      <c r="O16" t="s">
        <v>3008</v>
      </c>
      <c r="P16" t="s">
        <v>3009</v>
      </c>
      <c r="T16" t="s">
        <v>3024</v>
      </c>
      <c r="U16" t="s">
        <v>3043</v>
      </c>
    </row>
    <row r="17" spans="1:21" x14ac:dyDescent="0.3">
      <c r="A17" t="s">
        <v>2864</v>
      </c>
      <c r="B17" t="s">
        <v>2864</v>
      </c>
      <c r="C17" t="s">
        <v>2865</v>
      </c>
      <c r="D17" t="s">
        <v>2865</v>
      </c>
      <c r="E17">
        <v>128</v>
      </c>
      <c r="F17">
        <v>0</v>
      </c>
      <c r="G17">
        <v>128</v>
      </c>
      <c r="H17" t="s">
        <v>2864</v>
      </c>
      <c r="I17">
        <v>13</v>
      </c>
      <c r="J17" t="s">
        <v>3174</v>
      </c>
      <c r="K17" t="s">
        <v>2954</v>
      </c>
      <c r="N17" t="s">
        <v>3007</v>
      </c>
      <c r="O17" t="b">
        <v>1</v>
      </c>
      <c r="P17" t="s">
        <v>3057</v>
      </c>
      <c r="T17" t="s">
        <v>3112</v>
      </c>
      <c r="U17" t="s">
        <v>3062</v>
      </c>
    </row>
    <row r="18" spans="1:21" x14ac:dyDescent="0.3">
      <c r="A18" t="s">
        <v>2866</v>
      </c>
      <c r="B18" t="s">
        <v>2866</v>
      </c>
      <c r="C18" t="s">
        <v>2867</v>
      </c>
      <c r="D18" t="s">
        <v>2867</v>
      </c>
      <c r="E18">
        <v>0</v>
      </c>
      <c r="F18">
        <v>128</v>
      </c>
      <c r="G18">
        <v>128</v>
      </c>
      <c r="H18" t="s">
        <v>2866</v>
      </c>
      <c r="I18">
        <v>14</v>
      </c>
      <c r="J18" t="s">
        <v>3175</v>
      </c>
      <c r="K18" t="s">
        <v>2955</v>
      </c>
      <c r="N18" t="s">
        <v>3063</v>
      </c>
      <c r="O18" t="s">
        <v>3076</v>
      </c>
      <c r="T18" t="s">
        <v>3126</v>
      </c>
      <c r="U18" t="s">
        <v>3105</v>
      </c>
    </row>
    <row r="19" spans="1:21" x14ac:dyDescent="0.3">
      <c r="A19" t="s">
        <v>2868</v>
      </c>
      <c r="B19" t="s">
        <v>2868</v>
      </c>
      <c r="C19" t="s">
        <v>2869</v>
      </c>
      <c r="D19" t="s">
        <v>2869</v>
      </c>
      <c r="E19">
        <v>192</v>
      </c>
      <c r="F19">
        <v>192</v>
      </c>
      <c r="G19">
        <v>192</v>
      </c>
      <c r="H19" t="s">
        <v>2868</v>
      </c>
      <c r="I19">
        <v>15</v>
      </c>
      <c r="J19" t="s">
        <v>3176</v>
      </c>
      <c r="K19" t="s">
        <v>2959</v>
      </c>
      <c r="N19" t="s">
        <v>3100</v>
      </c>
      <c r="O19">
        <v>11</v>
      </c>
      <c r="P19">
        <v>1</v>
      </c>
      <c r="S19">
        <v>0</v>
      </c>
      <c r="T19" t="s">
        <v>3025</v>
      </c>
      <c r="U19" t="s">
        <v>3104</v>
      </c>
    </row>
    <row r="20" spans="1:21" x14ac:dyDescent="0.3">
      <c r="A20" t="s">
        <v>2870</v>
      </c>
      <c r="B20" t="s">
        <v>2870</v>
      </c>
      <c r="C20" t="s">
        <v>2871</v>
      </c>
      <c r="D20" t="s">
        <v>2871</v>
      </c>
      <c r="E20">
        <v>128</v>
      </c>
      <c r="F20">
        <v>128</v>
      </c>
      <c r="G20">
        <v>128</v>
      </c>
      <c r="H20" t="s">
        <v>2870</v>
      </c>
      <c r="I20">
        <v>16</v>
      </c>
      <c r="J20" t="s">
        <v>3177</v>
      </c>
      <c r="K20" t="s">
        <v>2956</v>
      </c>
      <c r="N20" t="s">
        <v>3101</v>
      </c>
      <c r="O20">
        <v>13</v>
      </c>
      <c r="P20">
        <v>3</v>
      </c>
      <c r="S20">
        <v>0</v>
      </c>
      <c r="T20" t="s">
        <v>3059</v>
      </c>
      <c r="U20" t="s">
        <v>3045</v>
      </c>
    </row>
    <row r="21" spans="1:21" x14ac:dyDescent="0.3">
      <c r="A21" t="s">
        <v>2872</v>
      </c>
      <c r="B21" t="s">
        <v>2872</v>
      </c>
      <c r="C21" t="s">
        <v>2873</v>
      </c>
      <c r="D21" t="s">
        <v>2873</v>
      </c>
      <c r="E21">
        <v>153</v>
      </c>
      <c r="F21">
        <v>153</v>
      </c>
      <c r="G21">
        <v>255</v>
      </c>
      <c r="H21" t="s">
        <v>2872</v>
      </c>
      <c r="I21">
        <v>17</v>
      </c>
      <c r="J21" t="s">
        <v>3178</v>
      </c>
      <c r="K21" t="s">
        <v>2957</v>
      </c>
      <c r="N21" t="s">
        <v>3102</v>
      </c>
      <c r="O21">
        <v>13</v>
      </c>
      <c r="P21">
        <v>4</v>
      </c>
      <c r="S21">
        <v>0</v>
      </c>
      <c r="T21" t="s">
        <v>3026</v>
      </c>
      <c r="U21" t="s">
        <v>3046</v>
      </c>
    </row>
    <row r="22" spans="1:21" x14ac:dyDescent="0.3">
      <c r="A22" t="s">
        <v>2874</v>
      </c>
      <c r="B22" t="s">
        <v>2874</v>
      </c>
      <c r="C22" t="s">
        <v>2875</v>
      </c>
      <c r="D22" t="s">
        <v>2875</v>
      </c>
      <c r="E22">
        <v>153</v>
      </c>
      <c r="F22">
        <v>51</v>
      </c>
      <c r="G22">
        <v>102</v>
      </c>
      <c r="H22" t="s">
        <v>2874</v>
      </c>
      <c r="I22">
        <v>18</v>
      </c>
      <c r="J22" t="s">
        <v>3179</v>
      </c>
      <c r="K22" t="s">
        <v>2960</v>
      </c>
      <c r="N22" t="s">
        <v>3079</v>
      </c>
      <c r="O22">
        <v>12</v>
      </c>
      <c r="P22">
        <v>0</v>
      </c>
      <c r="S22">
        <v>0</v>
      </c>
      <c r="T22" t="s">
        <v>3027</v>
      </c>
      <c r="U22" t="s">
        <v>3048</v>
      </c>
    </row>
    <row r="23" spans="1:21" x14ac:dyDescent="0.3">
      <c r="A23" t="s">
        <v>2876</v>
      </c>
      <c r="B23" t="s">
        <v>2876</v>
      </c>
      <c r="C23" t="s">
        <v>2877</v>
      </c>
      <c r="D23" t="s">
        <v>2877</v>
      </c>
      <c r="E23">
        <v>255</v>
      </c>
      <c r="F23">
        <v>255</v>
      </c>
      <c r="G23">
        <v>204</v>
      </c>
      <c r="H23" t="s">
        <v>2876</v>
      </c>
      <c r="I23">
        <v>19</v>
      </c>
      <c r="J23" t="s">
        <v>3180</v>
      </c>
      <c r="K23" t="s">
        <v>2961</v>
      </c>
      <c r="N23" t="s">
        <v>3081</v>
      </c>
      <c r="O23">
        <v>12</v>
      </c>
      <c r="P23">
        <v>1</v>
      </c>
      <c r="S23">
        <v>0</v>
      </c>
      <c r="T23" t="s">
        <v>3028</v>
      </c>
      <c r="U23" t="s">
        <v>3049</v>
      </c>
    </row>
    <row r="24" spans="1:21" x14ac:dyDescent="0.3">
      <c r="A24" t="s">
        <v>2878</v>
      </c>
      <c r="B24" t="s">
        <v>2878</v>
      </c>
      <c r="C24" t="s">
        <v>2879</v>
      </c>
      <c r="D24" t="s">
        <v>2879</v>
      </c>
      <c r="E24">
        <v>204</v>
      </c>
      <c r="F24">
        <v>255</v>
      </c>
      <c r="G24">
        <v>255</v>
      </c>
      <c r="H24" t="s">
        <v>2878</v>
      </c>
      <c r="I24">
        <v>20</v>
      </c>
      <c r="J24" t="s">
        <v>3181</v>
      </c>
      <c r="K24" t="s">
        <v>2962</v>
      </c>
      <c r="N24" t="s">
        <v>3108</v>
      </c>
      <c r="O24">
        <v>12</v>
      </c>
      <c r="P24">
        <v>1</v>
      </c>
      <c r="S24">
        <v>0</v>
      </c>
      <c r="T24" t="s">
        <v>3060</v>
      </c>
      <c r="U24" t="s">
        <v>3050</v>
      </c>
    </row>
    <row r="25" spans="1:21" x14ac:dyDescent="0.3">
      <c r="A25" t="s">
        <v>2880</v>
      </c>
      <c r="B25" t="s">
        <v>2880</v>
      </c>
      <c r="C25" t="s">
        <v>2881</v>
      </c>
      <c r="D25" t="s">
        <v>2881</v>
      </c>
      <c r="E25">
        <v>102</v>
      </c>
      <c r="F25">
        <v>0</v>
      </c>
      <c r="G25">
        <v>102</v>
      </c>
      <c r="H25" t="s">
        <v>2880</v>
      </c>
      <c r="I25">
        <v>21</v>
      </c>
      <c r="J25" t="s">
        <v>3182</v>
      </c>
      <c r="K25" t="s">
        <v>2963</v>
      </c>
      <c r="N25" t="s">
        <v>3109</v>
      </c>
      <c r="O25">
        <v>12</v>
      </c>
      <c r="P25">
        <v>0</v>
      </c>
      <c r="T25" t="s">
        <v>3061</v>
      </c>
      <c r="U25" t="s">
        <v>3051</v>
      </c>
    </row>
    <row r="26" spans="1:21" x14ac:dyDescent="0.3">
      <c r="A26" t="s">
        <v>2882</v>
      </c>
      <c r="B26" t="s">
        <v>2882</v>
      </c>
      <c r="C26" t="s">
        <v>2883</v>
      </c>
      <c r="D26" t="s">
        <v>2883</v>
      </c>
      <c r="E26">
        <v>255</v>
      </c>
      <c r="F26">
        <v>128</v>
      </c>
      <c r="G26">
        <v>128</v>
      </c>
      <c r="H26" t="s">
        <v>2882</v>
      </c>
      <c r="I26">
        <v>22</v>
      </c>
      <c r="J26" t="s">
        <v>3183</v>
      </c>
      <c r="K26" t="s">
        <v>2964</v>
      </c>
      <c r="N26" t="s">
        <v>3098</v>
      </c>
      <c r="O26">
        <v>12</v>
      </c>
      <c r="P26">
        <v>0</v>
      </c>
      <c r="T26" t="s">
        <v>3064</v>
      </c>
      <c r="U26" t="s">
        <v>3065</v>
      </c>
    </row>
    <row r="27" spans="1:21" x14ac:dyDescent="0.3">
      <c r="A27" t="s">
        <v>2884</v>
      </c>
      <c r="B27" t="s">
        <v>2884</v>
      </c>
      <c r="C27" t="s">
        <v>2885</v>
      </c>
      <c r="D27" t="s">
        <v>2885</v>
      </c>
      <c r="E27">
        <v>0</v>
      </c>
      <c r="F27">
        <v>102</v>
      </c>
      <c r="G27">
        <v>204</v>
      </c>
      <c r="H27" t="s">
        <v>2884</v>
      </c>
      <c r="I27">
        <v>23</v>
      </c>
      <c r="J27" t="s">
        <v>3184</v>
      </c>
      <c r="K27" t="s">
        <v>2965</v>
      </c>
      <c r="N27" t="s">
        <v>3113</v>
      </c>
      <c r="P27">
        <v>2</v>
      </c>
      <c r="T27" t="s">
        <v>3117</v>
      </c>
      <c r="U27" t="s">
        <v>3121</v>
      </c>
    </row>
    <row r="28" spans="1:21" x14ac:dyDescent="0.3">
      <c r="A28" t="s">
        <v>2886</v>
      </c>
      <c r="B28" t="s">
        <v>2886</v>
      </c>
      <c r="C28" t="s">
        <v>2887</v>
      </c>
      <c r="D28" t="s">
        <v>2887</v>
      </c>
      <c r="E28">
        <v>204</v>
      </c>
      <c r="F28">
        <v>204</v>
      </c>
      <c r="G28">
        <v>255</v>
      </c>
      <c r="H28" t="s">
        <v>2886</v>
      </c>
      <c r="I28">
        <v>24</v>
      </c>
      <c r="J28" t="s">
        <v>3185</v>
      </c>
      <c r="K28" t="s">
        <v>2966</v>
      </c>
      <c r="N28" t="s">
        <v>3114</v>
      </c>
      <c r="P28">
        <v>3</v>
      </c>
      <c r="T28" t="s">
        <v>3118</v>
      </c>
      <c r="U28" t="s">
        <v>3122</v>
      </c>
    </row>
    <row r="29" spans="1:21" x14ac:dyDescent="0.3">
      <c r="A29" t="s">
        <v>2888</v>
      </c>
      <c r="B29" t="s">
        <v>2888</v>
      </c>
      <c r="C29" t="s">
        <v>2861</v>
      </c>
      <c r="D29" t="s">
        <v>2861</v>
      </c>
      <c r="E29">
        <v>0</v>
      </c>
      <c r="F29">
        <v>0</v>
      </c>
      <c r="G29">
        <v>128</v>
      </c>
      <c r="H29" t="s">
        <v>2888</v>
      </c>
      <c r="I29">
        <v>25</v>
      </c>
      <c r="J29" t="s">
        <v>3172</v>
      </c>
      <c r="K29" t="s">
        <v>2967</v>
      </c>
      <c r="N29" t="s">
        <v>3115</v>
      </c>
      <c r="P29">
        <v>4</v>
      </c>
      <c r="T29" t="s">
        <v>3119</v>
      </c>
      <c r="U29" t="s">
        <v>3123</v>
      </c>
    </row>
    <row r="30" spans="1:21" x14ac:dyDescent="0.3">
      <c r="A30" t="s">
        <v>2889</v>
      </c>
      <c r="B30" t="s">
        <v>2889</v>
      </c>
      <c r="C30" t="s">
        <v>2850</v>
      </c>
      <c r="D30" t="s">
        <v>2850</v>
      </c>
      <c r="E30">
        <v>255</v>
      </c>
      <c r="F30">
        <v>0</v>
      </c>
      <c r="G30">
        <v>255</v>
      </c>
      <c r="H30" t="s">
        <v>2889</v>
      </c>
      <c r="I30">
        <v>26</v>
      </c>
      <c r="J30" t="s">
        <v>3168</v>
      </c>
      <c r="K30" t="s">
        <v>2968</v>
      </c>
      <c r="N30" t="s">
        <v>3116</v>
      </c>
      <c r="P30">
        <v>5</v>
      </c>
      <c r="T30" t="s">
        <v>3120</v>
      </c>
      <c r="U30" t="s">
        <v>3124</v>
      </c>
    </row>
    <row r="31" spans="1:21" x14ac:dyDescent="0.3">
      <c r="A31" t="s">
        <v>2890</v>
      </c>
      <c r="B31" t="s">
        <v>2890</v>
      </c>
      <c r="C31" t="s">
        <v>2846</v>
      </c>
      <c r="D31" t="s">
        <v>2846</v>
      </c>
      <c r="E31">
        <v>255</v>
      </c>
      <c r="F31">
        <v>255</v>
      </c>
      <c r="G31">
        <v>0</v>
      </c>
      <c r="H31" t="s">
        <v>2890</v>
      </c>
      <c r="I31">
        <v>27</v>
      </c>
      <c r="J31" t="s">
        <v>3186</v>
      </c>
      <c r="K31" t="s">
        <v>2969</v>
      </c>
      <c r="N31" t="s">
        <v>3128</v>
      </c>
      <c r="O31" t="s">
        <v>3129</v>
      </c>
      <c r="T31" t="s">
        <v>3133</v>
      </c>
      <c r="U31" t="s">
        <v>3134</v>
      </c>
    </row>
    <row r="32" spans="1:21" x14ac:dyDescent="0.3">
      <c r="A32" t="s">
        <v>2891</v>
      </c>
      <c r="B32" t="s">
        <v>2891</v>
      </c>
      <c r="C32" t="s">
        <v>2854</v>
      </c>
      <c r="D32" t="s">
        <v>2854</v>
      </c>
      <c r="E32">
        <v>0</v>
      </c>
      <c r="F32">
        <v>255</v>
      </c>
      <c r="G32">
        <v>255</v>
      </c>
      <c r="H32" t="s">
        <v>2891</v>
      </c>
      <c r="I32">
        <v>28</v>
      </c>
      <c r="J32" t="s">
        <v>3169</v>
      </c>
      <c r="K32" t="s">
        <v>2970</v>
      </c>
      <c r="N32" t="s">
        <v>3150</v>
      </c>
      <c r="O32">
        <v>12</v>
      </c>
      <c r="P32">
        <v>1</v>
      </c>
      <c r="Q32" t="b">
        <v>0</v>
      </c>
      <c r="T32" t="s">
        <v>3152</v>
      </c>
      <c r="U32" t="s">
        <v>3153</v>
      </c>
    </row>
    <row r="33" spans="1:21" x14ac:dyDescent="0.3">
      <c r="A33" t="s">
        <v>2892</v>
      </c>
      <c r="B33" t="s">
        <v>2892</v>
      </c>
      <c r="C33" t="s">
        <v>2865</v>
      </c>
      <c r="D33" t="s">
        <v>2865</v>
      </c>
      <c r="E33">
        <v>128</v>
      </c>
      <c r="F33">
        <v>0</v>
      </c>
      <c r="G33">
        <v>128</v>
      </c>
      <c r="H33" t="s">
        <v>2892</v>
      </c>
      <c r="I33">
        <v>29</v>
      </c>
      <c r="J33" t="s">
        <v>3174</v>
      </c>
      <c r="K33" t="s">
        <v>2971</v>
      </c>
      <c r="N33" t="s">
        <v>3080</v>
      </c>
      <c r="O33">
        <v>12</v>
      </c>
      <c r="P33">
        <v>1</v>
      </c>
      <c r="Q33" t="b">
        <v>0</v>
      </c>
      <c r="T33" t="s">
        <v>3154</v>
      </c>
      <c r="U33" t="s">
        <v>3155</v>
      </c>
    </row>
    <row r="34" spans="1:21" x14ac:dyDescent="0.3">
      <c r="A34" t="s">
        <v>2893</v>
      </c>
      <c r="B34" t="s">
        <v>2893</v>
      </c>
      <c r="C34" t="s">
        <v>2857</v>
      </c>
      <c r="D34" t="s">
        <v>2857</v>
      </c>
      <c r="E34">
        <v>128</v>
      </c>
      <c r="F34">
        <v>0</v>
      </c>
      <c r="G34">
        <v>0</v>
      </c>
      <c r="H34" t="s">
        <v>2893</v>
      </c>
      <c r="I34">
        <v>30</v>
      </c>
      <c r="J34" t="s">
        <v>3170</v>
      </c>
      <c r="K34" t="s">
        <v>2972</v>
      </c>
      <c r="N34" t="s">
        <v>3151</v>
      </c>
      <c r="O34">
        <v>12</v>
      </c>
      <c r="P34">
        <v>1</v>
      </c>
      <c r="Q34" t="b">
        <v>0</v>
      </c>
      <c r="T34" t="s">
        <v>3156</v>
      </c>
      <c r="U34" t="s">
        <v>3157</v>
      </c>
    </row>
    <row r="35" spans="1:21" x14ac:dyDescent="0.3">
      <c r="A35" t="s">
        <v>2894</v>
      </c>
      <c r="B35" t="s">
        <v>2894</v>
      </c>
      <c r="C35" t="s">
        <v>2867</v>
      </c>
      <c r="D35" t="s">
        <v>2867</v>
      </c>
      <c r="E35">
        <v>0</v>
      </c>
      <c r="F35">
        <v>128</v>
      </c>
      <c r="G35">
        <v>128</v>
      </c>
      <c r="H35" t="s">
        <v>2894</v>
      </c>
      <c r="I35">
        <v>31</v>
      </c>
      <c r="J35" t="s">
        <v>3175</v>
      </c>
      <c r="K35" t="s">
        <v>2973</v>
      </c>
      <c r="N35" t="s">
        <v>3082</v>
      </c>
      <c r="O35">
        <v>12</v>
      </c>
      <c r="P35">
        <v>1</v>
      </c>
      <c r="Q35" t="b">
        <v>0</v>
      </c>
      <c r="T35" t="s">
        <v>3158</v>
      </c>
      <c r="U35" t="s">
        <v>3161</v>
      </c>
    </row>
    <row r="36" spans="1:21" x14ac:dyDescent="0.3">
      <c r="A36" t="s">
        <v>2895</v>
      </c>
      <c r="B36" t="s">
        <v>2895</v>
      </c>
      <c r="C36" t="s">
        <v>2842</v>
      </c>
      <c r="D36" t="s">
        <v>2842</v>
      </c>
      <c r="E36">
        <v>0</v>
      </c>
      <c r="F36">
        <v>0</v>
      </c>
      <c r="G36">
        <v>255</v>
      </c>
      <c r="H36" t="s">
        <v>2895</v>
      </c>
      <c r="I36">
        <v>32</v>
      </c>
      <c r="J36" t="s">
        <v>3187</v>
      </c>
      <c r="K36" t="s">
        <v>2974</v>
      </c>
      <c r="T36" t="s">
        <v>3159</v>
      </c>
      <c r="U36" t="s">
        <v>3162</v>
      </c>
    </row>
    <row r="37" spans="1:21" x14ac:dyDescent="0.3">
      <c r="A37" t="s">
        <v>2896</v>
      </c>
      <c r="B37" t="s">
        <v>2896</v>
      </c>
      <c r="C37" t="s">
        <v>2897</v>
      </c>
      <c r="D37" t="s">
        <v>2897</v>
      </c>
      <c r="E37">
        <v>0</v>
      </c>
      <c r="F37">
        <v>204</v>
      </c>
      <c r="G37">
        <v>255</v>
      </c>
      <c r="H37" t="s">
        <v>2896</v>
      </c>
      <c r="I37">
        <v>33</v>
      </c>
      <c r="J37" t="s">
        <v>3188</v>
      </c>
      <c r="K37" t="s">
        <v>2975</v>
      </c>
      <c r="T37" t="s">
        <v>3160</v>
      </c>
      <c r="U37" t="s">
        <v>3163</v>
      </c>
    </row>
    <row r="38" spans="1:21" x14ac:dyDescent="0.3">
      <c r="A38" t="s">
        <v>2898</v>
      </c>
      <c r="B38" t="s">
        <v>2898</v>
      </c>
      <c r="C38" t="s">
        <v>2879</v>
      </c>
      <c r="D38" t="s">
        <v>2879</v>
      </c>
      <c r="E38">
        <v>204</v>
      </c>
      <c r="F38">
        <v>255</v>
      </c>
      <c r="G38">
        <v>255</v>
      </c>
      <c r="H38" t="s">
        <v>2898</v>
      </c>
      <c r="I38">
        <v>34</v>
      </c>
      <c r="J38" t="s">
        <v>3181</v>
      </c>
      <c r="K38" t="s">
        <v>2976</v>
      </c>
    </row>
    <row r="39" spans="1:21" x14ac:dyDescent="0.3">
      <c r="A39" t="s">
        <v>2899</v>
      </c>
      <c r="B39" t="s">
        <v>2899</v>
      </c>
      <c r="C39" t="s">
        <v>2900</v>
      </c>
      <c r="D39" t="s">
        <v>2900</v>
      </c>
      <c r="E39">
        <v>204</v>
      </c>
      <c r="F39">
        <v>255</v>
      </c>
      <c r="G39">
        <v>204</v>
      </c>
      <c r="H39" t="s">
        <v>2899</v>
      </c>
      <c r="I39">
        <v>35</v>
      </c>
      <c r="J39" t="s">
        <v>3189</v>
      </c>
      <c r="K39" t="s">
        <v>2977</v>
      </c>
    </row>
    <row r="40" spans="1:21" x14ac:dyDescent="0.3">
      <c r="A40" t="s">
        <v>2901</v>
      </c>
      <c r="B40" t="s">
        <v>2901</v>
      </c>
      <c r="C40" t="s">
        <v>2902</v>
      </c>
      <c r="D40" t="s">
        <v>2902</v>
      </c>
      <c r="E40">
        <v>255</v>
      </c>
      <c r="F40">
        <v>255</v>
      </c>
      <c r="G40">
        <v>153</v>
      </c>
      <c r="H40" t="s">
        <v>2901</v>
      </c>
      <c r="I40">
        <v>36</v>
      </c>
      <c r="J40" t="s">
        <v>3190</v>
      </c>
      <c r="K40" t="s">
        <v>2978</v>
      </c>
    </row>
    <row r="41" spans="1:21" x14ac:dyDescent="0.3">
      <c r="A41" t="s">
        <v>2903</v>
      </c>
      <c r="B41" t="s">
        <v>2903</v>
      </c>
      <c r="C41" t="s">
        <v>2904</v>
      </c>
      <c r="D41" t="s">
        <v>2904</v>
      </c>
      <c r="E41">
        <v>153</v>
      </c>
      <c r="F41">
        <v>204</v>
      </c>
      <c r="G41">
        <v>255</v>
      </c>
      <c r="H41" t="s">
        <v>2903</v>
      </c>
      <c r="I41">
        <v>37</v>
      </c>
      <c r="J41" t="s">
        <v>3191</v>
      </c>
      <c r="K41" t="s">
        <v>2979</v>
      </c>
    </row>
    <row r="42" spans="1:21" x14ac:dyDescent="0.3">
      <c r="A42" t="s">
        <v>2905</v>
      </c>
      <c r="B42" t="s">
        <v>2905</v>
      </c>
      <c r="C42" t="s">
        <v>2906</v>
      </c>
      <c r="D42" t="s">
        <v>2906</v>
      </c>
      <c r="E42">
        <v>255</v>
      </c>
      <c r="F42">
        <v>153</v>
      </c>
      <c r="G42">
        <v>204</v>
      </c>
      <c r="H42" t="s">
        <v>2905</v>
      </c>
      <c r="I42">
        <v>38</v>
      </c>
      <c r="J42" t="s">
        <v>3192</v>
      </c>
      <c r="K42" t="s">
        <v>2980</v>
      </c>
    </row>
    <row r="43" spans="1:21" x14ac:dyDescent="0.3">
      <c r="A43" t="s">
        <v>2907</v>
      </c>
      <c r="B43" t="s">
        <v>2907</v>
      </c>
      <c r="C43" t="s">
        <v>2908</v>
      </c>
      <c r="D43" t="s">
        <v>2908</v>
      </c>
      <c r="E43">
        <v>204</v>
      </c>
      <c r="F43">
        <v>153</v>
      </c>
      <c r="G43">
        <v>255</v>
      </c>
      <c r="H43" t="s">
        <v>2907</v>
      </c>
      <c r="I43">
        <v>39</v>
      </c>
      <c r="J43" t="s">
        <v>3193</v>
      </c>
      <c r="K43" t="s">
        <v>2981</v>
      </c>
    </row>
    <row r="44" spans="1:21" x14ac:dyDescent="0.3">
      <c r="A44" t="s">
        <v>2909</v>
      </c>
      <c r="B44" t="s">
        <v>2909</v>
      </c>
      <c r="C44" t="s">
        <v>2910</v>
      </c>
      <c r="D44" t="s">
        <v>2910</v>
      </c>
      <c r="E44">
        <v>255</v>
      </c>
      <c r="F44">
        <v>204</v>
      </c>
      <c r="G44">
        <v>153</v>
      </c>
      <c r="H44" t="s">
        <v>2909</v>
      </c>
      <c r="I44">
        <v>40</v>
      </c>
      <c r="J44" t="s">
        <v>3194</v>
      </c>
      <c r="K44" t="s">
        <v>2982</v>
      </c>
    </row>
    <row r="45" spans="1:21" x14ac:dyDescent="0.3">
      <c r="A45" t="s">
        <v>2911</v>
      </c>
      <c r="B45" t="s">
        <v>2911</v>
      </c>
      <c r="C45" t="s">
        <v>2912</v>
      </c>
      <c r="D45" t="s">
        <v>2912</v>
      </c>
      <c r="E45">
        <v>51</v>
      </c>
      <c r="F45">
        <v>102</v>
      </c>
      <c r="G45">
        <v>255</v>
      </c>
      <c r="H45" t="s">
        <v>2911</v>
      </c>
      <c r="I45">
        <v>41</v>
      </c>
      <c r="J45" t="s">
        <v>3195</v>
      </c>
      <c r="K45" t="s">
        <v>2983</v>
      </c>
    </row>
    <row r="46" spans="1:21" x14ac:dyDescent="0.3">
      <c r="A46" t="s">
        <v>2913</v>
      </c>
      <c r="B46" t="s">
        <v>2913</v>
      </c>
      <c r="C46" t="s">
        <v>2914</v>
      </c>
      <c r="D46" t="s">
        <v>2914</v>
      </c>
      <c r="E46">
        <v>51</v>
      </c>
      <c r="F46">
        <v>204</v>
      </c>
      <c r="G46">
        <v>204</v>
      </c>
      <c r="H46" t="s">
        <v>2913</v>
      </c>
      <c r="I46">
        <v>42</v>
      </c>
      <c r="J46" t="s">
        <v>3196</v>
      </c>
      <c r="K46" t="s">
        <v>2984</v>
      </c>
    </row>
    <row r="47" spans="1:21" x14ac:dyDescent="0.3">
      <c r="A47" t="s">
        <v>2915</v>
      </c>
      <c r="B47" t="s">
        <v>2915</v>
      </c>
      <c r="C47" t="s">
        <v>2916</v>
      </c>
      <c r="D47" t="s">
        <v>2916</v>
      </c>
      <c r="E47">
        <v>153</v>
      </c>
      <c r="F47">
        <v>204</v>
      </c>
      <c r="G47">
        <v>0</v>
      </c>
      <c r="H47" t="s">
        <v>2915</v>
      </c>
      <c r="I47">
        <v>43</v>
      </c>
      <c r="J47" t="s">
        <v>3197</v>
      </c>
      <c r="K47" t="s">
        <v>2985</v>
      </c>
    </row>
    <row r="48" spans="1:21" x14ac:dyDescent="0.3">
      <c r="A48" t="s">
        <v>2917</v>
      </c>
      <c r="B48" t="s">
        <v>2917</v>
      </c>
      <c r="C48" t="s">
        <v>2918</v>
      </c>
      <c r="D48" t="s">
        <v>2918</v>
      </c>
      <c r="E48">
        <v>255</v>
      </c>
      <c r="F48">
        <v>204</v>
      </c>
      <c r="G48">
        <v>0</v>
      </c>
      <c r="H48" t="s">
        <v>2917</v>
      </c>
      <c r="I48">
        <v>44</v>
      </c>
      <c r="J48" t="s">
        <v>3198</v>
      </c>
      <c r="K48" t="s">
        <v>2986</v>
      </c>
    </row>
    <row r="49" spans="1:11" x14ac:dyDescent="0.3">
      <c r="A49" t="s">
        <v>2919</v>
      </c>
      <c r="B49" t="s">
        <v>2919</v>
      </c>
      <c r="C49" t="s">
        <v>2920</v>
      </c>
      <c r="D49" t="s">
        <v>2920</v>
      </c>
      <c r="E49">
        <v>255</v>
      </c>
      <c r="F49">
        <v>153</v>
      </c>
      <c r="G49">
        <v>0</v>
      </c>
      <c r="H49" t="s">
        <v>2919</v>
      </c>
      <c r="I49">
        <v>45</v>
      </c>
      <c r="J49" t="s">
        <v>3199</v>
      </c>
      <c r="K49" t="s">
        <v>2987</v>
      </c>
    </row>
    <row r="50" spans="1:11" x14ac:dyDescent="0.3">
      <c r="A50" t="s">
        <v>2921</v>
      </c>
      <c r="B50" t="s">
        <v>2921</v>
      </c>
      <c r="C50" t="s">
        <v>2922</v>
      </c>
      <c r="D50" t="s">
        <v>2922</v>
      </c>
      <c r="E50">
        <v>255</v>
      </c>
      <c r="F50">
        <v>102</v>
      </c>
      <c r="G50">
        <v>0</v>
      </c>
      <c r="H50" t="s">
        <v>2921</v>
      </c>
      <c r="I50">
        <v>46</v>
      </c>
      <c r="J50" t="s">
        <v>3200</v>
      </c>
      <c r="K50" t="s">
        <v>2988</v>
      </c>
    </row>
    <row r="51" spans="1:11" x14ac:dyDescent="0.3">
      <c r="A51" t="s">
        <v>2923</v>
      </c>
      <c r="B51" t="s">
        <v>2923</v>
      </c>
      <c r="C51" t="s">
        <v>2924</v>
      </c>
      <c r="D51" t="s">
        <v>2924</v>
      </c>
      <c r="E51">
        <v>102</v>
      </c>
      <c r="F51">
        <v>102</v>
      </c>
      <c r="G51">
        <v>153</v>
      </c>
      <c r="H51" t="s">
        <v>2923</v>
      </c>
      <c r="I51">
        <v>47</v>
      </c>
      <c r="J51" t="s">
        <v>3201</v>
      </c>
      <c r="K51" t="s">
        <v>2989</v>
      </c>
    </row>
    <row r="52" spans="1:11" x14ac:dyDescent="0.3">
      <c r="A52" t="s">
        <v>2925</v>
      </c>
      <c r="B52" t="s">
        <v>2925</v>
      </c>
      <c r="C52" t="s">
        <v>2926</v>
      </c>
      <c r="D52" t="s">
        <v>2926</v>
      </c>
      <c r="E52">
        <v>150</v>
      </c>
      <c r="F52">
        <v>150</v>
      </c>
      <c r="G52">
        <v>150</v>
      </c>
      <c r="H52" t="s">
        <v>2925</v>
      </c>
      <c r="I52">
        <v>48</v>
      </c>
      <c r="J52" t="s">
        <v>3202</v>
      </c>
      <c r="K52" t="s">
        <v>2990</v>
      </c>
    </row>
    <row r="53" spans="1:11" x14ac:dyDescent="0.3">
      <c r="A53" t="s">
        <v>2927</v>
      </c>
      <c r="B53" t="s">
        <v>2927</v>
      </c>
      <c r="C53" t="s">
        <v>2928</v>
      </c>
      <c r="D53" t="s">
        <v>2928</v>
      </c>
      <c r="E53">
        <v>0</v>
      </c>
      <c r="F53">
        <v>51</v>
      </c>
      <c r="G53">
        <v>102</v>
      </c>
      <c r="H53" t="s">
        <v>2927</v>
      </c>
      <c r="I53">
        <v>49</v>
      </c>
      <c r="J53" t="s">
        <v>3203</v>
      </c>
      <c r="K53" t="s">
        <v>2991</v>
      </c>
    </row>
    <row r="54" spans="1:11" x14ac:dyDescent="0.3">
      <c r="A54" t="s">
        <v>2929</v>
      </c>
      <c r="B54" t="s">
        <v>2929</v>
      </c>
      <c r="C54" t="s">
        <v>2930</v>
      </c>
      <c r="D54" t="s">
        <v>2930</v>
      </c>
      <c r="E54">
        <v>51</v>
      </c>
      <c r="F54">
        <v>153</v>
      </c>
      <c r="G54">
        <v>102</v>
      </c>
      <c r="H54" t="s">
        <v>2929</v>
      </c>
      <c r="I54">
        <v>50</v>
      </c>
      <c r="J54" t="s">
        <v>3204</v>
      </c>
      <c r="K54" t="s">
        <v>2992</v>
      </c>
    </row>
    <row r="55" spans="1:11" x14ac:dyDescent="0.3">
      <c r="A55" t="s">
        <v>2931</v>
      </c>
      <c r="B55" t="s">
        <v>2931</v>
      </c>
      <c r="C55" t="s">
        <v>2932</v>
      </c>
      <c r="D55" t="s">
        <v>2932</v>
      </c>
      <c r="E55">
        <v>0</v>
      </c>
      <c r="F55">
        <v>51</v>
      </c>
      <c r="G55">
        <v>0</v>
      </c>
      <c r="H55" t="s">
        <v>2931</v>
      </c>
      <c r="I55">
        <v>51</v>
      </c>
      <c r="J55" t="s">
        <v>3205</v>
      </c>
      <c r="K55" t="s">
        <v>2993</v>
      </c>
    </row>
    <row r="56" spans="1:11" x14ac:dyDescent="0.3">
      <c r="A56" t="s">
        <v>2933</v>
      </c>
      <c r="B56" t="s">
        <v>2933</v>
      </c>
      <c r="C56" t="s">
        <v>2934</v>
      </c>
      <c r="D56" t="s">
        <v>2934</v>
      </c>
      <c r="E56">
        <v>51</v>
      </c>
      <c r="F56">
        <v>51</v>
      </c>
      <c r="G56">
        <v>0</v>
      </c>
      <c r="H56" t="s">
        <v>2933</v>
      </c>
      <c r="I56">
        <v>52</v>
      </c>
      <c r="J56" t="s">
        <v>3206</v>
      </c>
      <c r="K56" t="s">
        <v>2994</v>
      </c>
    </row>
    <row r="57" spans="1:11" x14ac:dyDescent="0.3">
      <c r="A57" t="s">
        <v>2935</v>
      </c>
      <c r="B57" t="s">
        <v>2935</v>
      </c>
      <c r="C57" t="s">
        <v>2936</v>
      </c>
      <c r="D57" t="s">
        <v>2936</v>
      </c>
      <c r="E57">
        <v>153</v>
      </c>
      <c r="F57">
        <v>51</v>
      </c>
      <c r="G57">
        <v>0</v>
      </c>
      <c r="H57" t="s">
        <v>2935</v>
      </c>
      <c r="I57">
        <v>53</v>
      </c>
      <c r="J57" t="s">
        <v>3207</v>
      </c>
      <c r="K57" t="s">
        <v>2995</v>
      </c>
    </row>
    <row r="58" spans="1:11" x14ac:dyDescent="0.3">
      <c r="A58" t="s">
        <v>2937</v>
      </c>
      <c r="B58" t="s">
        <v>2937</v>
      </c>
      <c r="C58" t="s">
        <v>2875</v>
      </c>
      <c r="D58" t="s">
        <v>2875</v>
      </c>
      <c r="E58">
        <v>153</v>
      </c>
      <c r="F58">
        <v>51</v>
      </c>
      <c r="G58">
        <v>102</v>
      </c>
      <c r="H58" t="s">
        <v>2937</v>
      </c>
      <c r="I58">
        <v>54</v>
      </c>
      <c r="J58" t="s">
        <v>3179</v>
      </c>
      <c r="K58" t="s">
        <v>2996</v>
      </c>
    </row>
    <row r="59" spans="1:11" x14ac:dyDescent="0.3">
      <c r="A59" t="s">
        <v>2938</v>
      </c>
      <c r="B59" t="s">
        <v>2938</v>
      </c>
      <c r="C59" t="s">
        <v>2939</v>
      </c>
      <c r="D59" t="s">
        <v>2939</v>
      </c>
      <c r="E59">
        <v>51</v>
      </c>
      <c r="F59">
        <v>51</v>
      </c>
      <c r="G59">
        <v>153</v>
      </c>
      <c r="H59" t="s">
        <v>2938</v>
      </c>
      <c r="I59">
        <v>55</v>
      </c>
      <c r="J59" t="s">
        <v>3208</v>
      </c>
      <c r="K59" t="s">
        <v>2997</v>
      </c>
    </row>
    <row r="60" spans="1:11" x14ac:dyDescent="0.3">
      <c r="A60" t="s">
        <v>2940</v>
      </c>
      <c r="B60" t="s">
        <v>2940</v>
      </c>
      <c r="C60" t="s">
        <v>2941</v>
      </c>
      <c r="D60" t="s">
        <v>2941</v>
      </c>
      <c r="E60">
        <v>51</v>
      </c>
      <c r="F60">
        <v>51</v>
      </c>
      <c r="G60">
        <v>51</v>
      </c>
      <c r="H60" t="s">
        <v>2940</v>
      </c>
      <c r="I60">
        <v>56</v>
      </c>
      <c r="J60" t="s">
        <v>3209</v>
      </c>
      <c r="K60" t="s">
        <v>2998</v>
      </c>
    </row>
    <row r="61" spans="1:11" x14ac:dyDescent="0.3">
      <c r="A61" t="s">
        <v>2942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I62"/>
  <sheetViews>
    <sheetView topLeftCell="A37" workbookViewId="0">
      <selection activeCell="B32" sqref="B32"/>
    </sheetView>
  </sheetViews>
  <sheetFormatPr defaultRowHeight="14.4" x14ac:dyDescent="0.3"/>
  <sheetData>
    <row r="2" spans="2:2" ht="18" x14ac:dyDescent="0.35">
      <c r="B2" s="121" t="s">
        <v>3216</v>
      </c>
    </row>
    <row r="3" spans="2:2" ht="18" x14ac:dyDescent="0.35">
      <c r="B3" s="121"/>
    </row>
    <row r="4" spans="2:2" ht="18" x14ac:dyDescent="0.35">
      <c r="B4" s="128" t="s">
        <v>3249</v>
      </c>
    </row>
    <row r="5" spans="2:2" ht="15.6" x14ac:dyDescent="0.3">
      <c r="B5" s="125" t="s">
        <v>3295</v>
      </c>
    </row>
    <row r="6" spans="2:2" ht="15.6" x14ac:dyDescent="0.3">
      <c r="B6" s="125" t="s">
        <v>3250</v>
      </c>
    </row>
    <row r="7" spans="2:2" ht="15.6" x14ac:dyDescent="0.3">
      <c r="B7" s="125" t="s">
        <v>3294</v>
      </c>
    </row>
    <row r="8" spans="2:2" ht="15.6" x14ac:dyDescent="0.3">
      <c r="B8" s="125"/>
    </row>
    <row r="9" spans="2:2" ht="15.6" x14ac:dyDescent="0.3">
      <c r="B9" s="125" t="s">
        <v>3217</v>
      </c>
    </row>
    <row r="10" spans="2:2" ht="15.6" x14ac:dyDescent="0.3">
      <c r="B10" s="125" t="s">
        <v>3218</v>
      </c>
    </row>
    <row r="11" spans="2:2" ht="15.6" x14ac:dyDescent="0.3">
      <c r="B11" s="125"/>
    </row>
    <row r="12" spans="2:2" ht="15.6" x14ac:dyDescent="0.3">
      <c r="B12" s="125" t="s">
        <v>3219</v>
      </c>
    </row>
    <row r="13" spans="2:2" ht="15.6" x14ac:dyDescent="0.3">
      <c r="B13" s="125"/>
    </row>
    <row r="14" spans="2:2" ht="15.6" x14ac:dyDescent="0.3">
      <c r="B14" s="125" t="s">
        <v>3220</v>
      </c>
    </row>
    <row r="15" spans="2:2" ht="15.6" x14ac:dyDescent="0.3">
      <c r="B15" s="125" t="s">
        <v>3221</v>
      </c>
    </row>
    <row r="16" spans="2:2" ht="15.6" x14ac:dyDescent="0.3">
      <c r="B16" s="125"/>
    </row>
    <row r="17" spans="2:2" ht="15.6" x14ac:dyDescent="0.3">
      <c r="B17" s="125" t="s">
        <v>3222</v>
      </c>
    </row>
    <row r="18" spans="2:2" ht="15.6" x14ac:dyDescent="0.3">
      <c r="B18" s="125"/>
    </row>
    <row r="19" spans="2:2" ht="15.6" x14ac:dyDescent="0.3">
      <c r="B19" s="125" t="s">
        <v>3241</v>
      </c>
    </row>
    <row r="20" spans="2:2" ht="15.6" x14ac:dyDescent="0.3">
      <c r="B20" s="125"/>
    </row>
    <row r="21" spans="2:2" ht="15.6" x14ac:dyDescent="0.3">
      <c r="B21" s="125" t="s">
        <v>3223</v>
      </c>
    </row>
    <row r="22" spans="2:2" ht="15.6" x14ac:dyDescent="0.3">
      <c r="B22" s="125" t="s">
        <v>3224</v>
      </c>
    </row>
    <row r="23" spans="2:2" ht="15.6" x14ac:dyDescent="0.3">
      <c r="B23" s="125"/>
    </row>
    <row r="24" spans="2:2" ht="15.6" x14ac:dyDescent="0.3">
      <c r="B24" s="125" t="s">
        <v>3225</v>
      </c>
    </row>
    <row r="25" spans="2:2" ht="15.6" x14ac:dyDescent="0.3">
      <c r="B25" s="125"/>
    </row>
    <row r="26" spans="2:2" ht="15.6" x14ac:dyDescent="0.3">
      <c r="B26" s="125" t="s">
        <v>3226</v>
      </c>
    </row>
    <row r="27" spans="2:2" ht="15.6" x14ac:dyDescent="0.3">
      <c r="B27" s="125"/>
    </row>
    <row r="28" spans="2:2" ht="15.6" x14ac:dyDescent="0.3">
      <c r="B28" s="125" t="s">
        <v>3296</v>
      </c>
    </row>
    <row r="29" spans="2:2" ht="15.6" x14ac:dyDescent="0.3">
      <c r="B29" s="125"/>
    </row>
    <row r="30" spans="2:2" ht="15.6" x14ac:dyDescent="0.3">
      <c r="B30" s="125" t="s">
        <v>3238</v>
      </c>
    </row>
    <row r="31" spans="2:2" ht="15.6" x14ac:dyDescent="0.3">
      <c r="B31" s="125" t="s">
        <v>3297</v>
      </c>
    </row>
    <row r="32" spans="2:2" ht="15.6" x14ac:dyDescent="0.3">
      <c r="B32" s="125" t="s">
        <v>3242</v>
      </c>
    </row>
    <row r="33" spans="2:9" ht="15.6" x14ac:dyDescent="0.3">
      <c r="B33" s="125" t="s">
        <v>3243</v>
      </c>
    </row>
    <row r="34" spans="2:9" ht="15.6" x14ac:dyDescent="0.3">
      <c r="B34" s="125" t="s">
        <v>3245</v>
      </c>
      <c r="F34" s="127" t="s">
        <v>3107</v>
      </c>
      <c r="G34" t="s">
        <v>3244</v>
      </c>
      <c r="I34" s="126" t="s">
        <v>3110</v>
      </c>
    </row>
    <row r="35" spans="2:9" ht="15.6" x14ac:dyDescent="0.3">
      <c r="B35" s="125" t="s">
        <v>3256</v>
      </c>
      <c r="F35" s="127"/>
      <c r="I35" s="126"/>
    </row>
    <row r="36" spans="2:9" ht="15.6" x14ac:dyDescent="0.3">
      <c r="B36" s="125" t="s">
        <v>3257</v>
      </c>
      <c r="F36" s="127"/>
      <c r="I36" s="126"/>
    </row>
    <row r="37" spans="2:9" ht="15.6" x14ac:dyDescent="0.3">
      <c r="B37" s="125"/>
    </row>
    <row r="38" spans="2:9" ht="15.6" x14ac:dyDescent="0.3">
      <c r="B38" s="125" t="s">
        <v>3227</v>
      </c>
    </row>
    <row r="39" spans="2:9" ht="15.6" x14ac:dyDescent="0.3">
      <c r="B39" s="125" t="s">
        <v>3253</v>
      </c>
    </row>
    <row r="40" spans="2:9" ht="15.6" x14ac:dyDescent="0.3">
      <c r="B40" s="125" t="s">
        <v>3255</v>
      </c>
    </row>
    <row r="41" spans="2:9" ht="15.6" x14ac:dyDescent="0.3">
      <c r="B41" s="125" t="s">
        <v>3254</v>
      </c>
    </row>
    <row r="42" spans="2:9" ht="15.6" x14ac:dyDescent="0.3">
      <c r="B42" s="125" t="s">
        <v>3228</v>
      </c>
    </row>
    <row r="43" spans="2:9" ht="15.6" x14ac:dyDescent="0.3">
      <c r="B43" s="125"/>
    </row>
    <row r="44" spans="2:9" ht="15.6" x14ac:dyDescent="0.3">
      <c r="B44" s="125" t="s">
        <v>3229</v>
      </c>
    </row>
    <row r="45" spans="2:9" ht="15.6" x14ac:dyDescent="0.3">
      <c r="B45" s="125"/>
    </row>
    <row r="46" spans="2:9" ht="15.6" x14ac:dyDescent="0.3">
      <c r="B46" s="125" t="s">
        <v>3230</v>
      </c>
      <c r="C46" t="s">
        <v>3231</v>
      </c>
    </row>
    <row r="47" spans="2:9" ht="15.6" x14ac:dyDescent="0.3">
      <c r="B47" s="125" t="s">
        <v>3232</v>
      </c>
    </row>
    <row r="48" spans="2:9" ht="15.6" x14ac:dyDescent="0.3">
      <c r="B48" s="125"/>
    </row>
    <row r="49" spans="2:2" ht="15.6" x14ac:dyDescent="0.3">
      <c r="B49" s="125" t="s">
        <v>3233</v>
      </c>
    </row>
    <row r="50" spans="2:2" ht="15.6" x14ac:dyDescent="0.3">
      <c r="B50" s="125" t="s">
        <v>3234</v>
      </c>
    </row>
    <row r="51" spans="2:2" ht="15.6" x14ac:dyDescent="0.3">
      <c r="B51" s="125"/>
    </row>
    <row r="52" spans="2:2" ht="15.6" x14ac:dyDescent="0.3">
      <c r="B52" s="125" t="s">
        <v>3235</v>
      </c>
    </row>
    <row r="53" spans="2:2" ht="15.6" x14ac:dyDescent="0.3">
      <c r="B53" s="125"/>
    </row>
    <row r="54" spans="2:2" ht="15.6" x14ac:dyDescent="0.3">
      <c r="B54" s="125" t="s">
        <v>3236</v>
      </c>
    </row>
    <row r="55" spans="2:2" ht="15.6" x14ac:dyDescent="0.3">
      <c r="B55" s="125"/>
    </row>
    <row r="56" spans="2:2" ht="15.6" x14ac:dyDescent="0.3">
      <c r="B56" s="125" t="s">
        <v>3237</v>
      </c>
    </row>
    <row r="57" spans="2:2" ht="15.6" x14ac:dyDescent="0.3">
      <c r="B57" s="125"/>
    </row>
    <row r="58" spans="2:2" ht="15.6" x14ac:dyDescent="0.3">
      <c r="B58" s="125" t="s">
        <v>3239</v>
      </c>
    </row>
    <row r="59" spans="2:2" ht="15.6" x14ac:dyDescent="0.3">
      <c r="B59" s="125" t="s">
        <v>3240</v>
      </c>
    </row>
    <row r="60" spans="2:2" ht="15.6" x14ac:dyDescent="0.3">
      <c r="B60" s="125"/>
    </row>
    <row r="61" spans="2:2" ht="15.6" x14ac:dyDescent="0.3">
      <c r="B61" s="125" t="s">
        <v>3251</v>
      </c>
    </row>
    <row r="62" spans="2:2" ht="15.6" x14ac:dyDescent="0.3">
      <c r="B62" s="125" t="s">
        <v>3252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"/>
  <sheetViews>
    <sheetView workbookViewId="0"/>
  </sheetViews>
  <sheetFormatPr defaultRowHeight="14.4" x14ac:dyDescent="0.3"/>
  <cols>
    <col min="1" max="1" width="22.33203125" customWidth="1"/>
  </cols>
  <sheetData>
    <row r="1" spans="1:8" ht="18" x14ac:dyDescent="0.35">
      <c r="A1" s="129" t="s">
        <v>3258</v>
      </c>
      <c r="B1" s="129" t="s">
        <v>3259</v>
      </c>
      <c r="C1" s="129" t="s">
        <v>3260</v>
      </c>
      <c r="D1" s="129" t="s">
        <v>3261</v>
      </c>
      <c r="G1">
        <v>33</v>
      </c>
    </row>
    <row r="2" spans="1:8" x14ac:dyDescent="0.3">
      <c r="A2" t="s">
        <v>3282</v>
      </c>
      <c r="B2">
        <v>2</v>
      </c>
      <c r="C2" t="s">
        <v>3299</v>
      </c>
      <c r="D2">
        <v>743</v>
      </c>
    </row>
    <row r="3" spans="1:8" x14ac:dyDescent="0.3">
      <c r="A3" t="s">
        <v>3280</v>
      </c>
      <c r="B3">
        <v>3</v>
      </c>
      <c r="C3" t="s">
        <v>3299</v>
      </c>
      <c r="D3">
        <v>185</v>
      </c>
    </row>
    <row r="4" spans="1:8" x14ac:dyDescent="0.3">
      <c r="A4" t="s">
        <v>3266</v>
      </c>
      <c r="B4">
        <v>6</v>
      </c>
      <c r="C4" t="s">
        <v>3299</v>
      </c>
      <c r="D4">
        <v>435</v>
      </c>
      <c r="G4" t="s">
        <v>3301</v>
      </c>
      <c r="H4" t="s">
        <v>3747</v>
      </c>
    </row>
    <row r="5" spans="1:8" x14ac:dyDescent="0.3">
      <c r="A5" t="s">
        <v>3273</v>
      </c>
      <c r="B5">
        <v>18</v>
      </c>
      <c r="C5" t="s">
        <v>3299</v>
      </c>
      <c r="D5">
        <v>372</v>
      </c>
      <c r="G5" t="s">
        <v>3302</v>
      </c>
      <c r="H5" t="s">
        <v>3731</v>
      </c>
    </row>
    <row r="6" spans="1:8" x14ac:dyDescent="0.3">
      <c r="A6" t="s">
        <v>3274</v>
      </c>
      <c r="B6">
        <v>2</v>
      </c>
      <c r="C6" t="s">
        <v>3299</v>
      </c>
      <c r="D6">
        <v>434</v>
      </c>
      <c r="G6" t="s">
        <v>3303</v>
      </c>
      <c r="H6" s="130">
        <v>42399.615972222222</v>
      </c>
    </row>
    <row r="7" spans="1:8" x14ac:dyDescent="0.3">
      <c r="A7" t="s">
        <v>3267</v>
      </c>
      <c r="B7">
        <v>1</v>
      </c>
      <c r="C7" t="s">
        <v>3299</v>
      </c>
      <c r="D7">
        <v>9</v>
      </c>
      <c r="G7" t="s">
        <v>3304</v>
      </c>
      <c r="H7" s="130">
        <v>42997.392361111109</v>
      </c>
    </row>
    <row r="8" spans="1:8" x14ac:dyDescent="0.3">
      <c r="A8" t="s">
        <v>3287</v>
      </c>
      <c r="B8">
        <v>1</v>
      </c>
      <c r="C8" t="s">
        <v>3299</v>
      </c>
      <c r="D8">
        <v>8</v>
      </c>
      <c r="G8" t="s">
        <v>3305</v>
      </c>
    </row>
    <row r="9" spans="1:8" x14ac:dyDescent="0.3">
      <c r="A9" t="s">
        <v>3283</v>
      </c>
      <c r="B9">
        <v>1</v>
      </c>
      <c r="C9" t="s">
        <v>3299</v>
      </c>
      <c r="D9">
        <v>714</v>
      </c>
    </row>
    <row r="10" spans="1:8" x14ac:dyDescent="0.3">
      <c r="A10" t="s">
        <v>3285</v>
      </c>
      <c r="B10">
        <v>1</v>
      </c>
      <c r="C10" t="s">
        <v>3299</v>
      </c>
      <c r="D10">
        <v>402</v>
      </c>
    </row>
    <row r="11" spans="1:8" x14ac:dyDescent="0.3">
      <c r="A11" t="s">
        <v>3268</v>
      </c>
      <c r="B11">
        <v>1</v>
      </c>
      <c r="C11" t="s">
        <v>3299</v>
      </c>
      <c r="D11">
        <v>80</v>
      </c>
    </row>
    <row r="12" spans="1:8" x14ac:dyDescent="0.3">
      <c r="A12" t="s">
        <v>3281</v>
      </c>
      <c r="B12">
        <v>1</v>
      </c>
      <c r="C12" t="s">
        <v>3299</v>
      </c>
      <c r="D12">
        <v>9</v>
      </c>
    </row>
    <row r="13" spans="1:8" x14ac:dyDescent="0.3">
      <c r="A13" t="s">
        <v>3290</v>
      </c>
      <c r="B13">
        <v>6</v>
      </c>
      <c r="C13" t="s">
        <v>3299</v>
      </c>
      <c r="D13">
        <v>25</v>
      </c>
    </row>
    <row r="14" spans="1:8" x14ac:dyDescent="0.3">
      <c r="A14" t="s">
        <v>3293</v>
      </c>
      <c r="B14">
        <v>1</v>
      </c>
      <c r="C14" t="s">
        <v>3298</v>
      </c>
      <c r="D14">
        <v>0</v>
      </c>
    </row>
    <row r="15" spans="1:8" x14ac:dyDescent="0.3">
      <c r="A15" t="s">
        <v>3291</v>
      </c>
      <c r="B15">
        <v>1</v>
      </c>
      <c r="C15" t="s">
        <v>3298</v>
      </c>
      <c r="D15">
        <v>0</v>
      </c>
    </row>
    <row r="16" spans="1:8" x14ac:dyDescent="0.3">
      <c r="A16" t="s">
        <v>3275</v>
      </c>
      <c r="B16">
        <v>1</v>
      </c>
      <c r="C16" t="s">
        <v>3298</v>
      </c>
      <c r="D16">
        <v>0</v>
      </c>
    </row>
    <row r="17" spans="1:4" x14ac:dyDescent="0.3">
      <c r="A17" t="s">
        <v>3276</v>
      </c>
      <c r="B17">
        <v>1</v>
      </c>
      <c r="C17" t="s">
        <v>3298</v>
      </c>
      <c r="D17">
        <v>0</v>
      </c>
    </row>
    <row r="18" spans="1:4" x14ac:dyDescent="0.3">
      <c r="A18" t="s">
        <v>3292</v>
      </c>
      <c r="B18">
        <v>1</v>
      </c>
      <c r="C18" t="s">
        <v>3298</v>
      </c>
      <c r="D18">
        <v>0</v>
      </c>
    </row>
    <row r="19" spans="1:4" x14ac:dyDescent="0.3">
      <c r="A19" t="s">
        <v>3263</v>
      </c>
      <c r="B19">
        <v>1</v>
      </c>
      <c r="C19" t="s">
        <v>3298</v>
      </c>
      <c r="D19">
        <v>0</v>
      </c>
    </row>
    <row r="20" spans="1:4" x14ac:dyDescent="0.3">
      <c r="A20" t="s">
        <v>3269</v>
      </c>
      <c r="B20">
        <v>1</v>
      </c>
      <c r="C20" t="s">
        <v>3298</v>
      </c>
      <c r="D20">
        <v>0</v>
      </c>
    </row>
    <row r="21" spans="1:4" x14ac:dyDescent="0.3">
      <c r="A21" t="s">
        <v>3264</v>
      </c>
      <c r="B21">
        <v>1</v>
      </c>
      <c r="C21" t="s">
        <v>3298</v>
      </c>
      <c r="D21">
        <v>0</v>
      </c>
    </row>
    <row r="22" spans="1:4" x14ac:dyDescent="0.3">
      <c r="A22" t="s">
        <v>3265</v>
      </c>
      <c r="B22">
        <v>1</v>
      </c>
      <c r="C22" t="s">
        <v>3298</v>
      </c>
      <c r="D22">
        <v>0</v>
      </c>
    </row>
    <row r="23" spans="1:4" x14ac:dyDescent="0.3">
      <c r="A23" t="s">
        <v>3286</v>
      </c>
      <c r="B23">
        <v>1</v>
      </c>
      <c r="C23" t="s">
        <v>3298</v>
      </c>
      <c r="D23">
        <v>0</v>
      </c>
    </row>
    <row r="24" spans="1:4" x14ac:dyDescent="0.3">
      <c r="A24" t="s">
        <v>3278</v>
      </c>
      <c r="B24">
        <v>1</v>
      </c>
      <c r="C24" t="s">
        <v>3298</v>
      </c>
      <c r="D24">
        <v>0</v>
      </c>
    </row>
    <row r="25" spans="1:4" x14ac:dyDescent="0.3">
      <c r="A25" t="s">
        <v>3279</v>
      </c>
      <c r="B25">
        <v>1</v>
      </c>
      <c r="C25" t="s">
        <v>3298</v>
      </c>
      <c r="D25">
        <v>0</v>
      </c>
    </row>
    <row r="26" spans="1:4" x14ac:dyDescent="0.3">
      <c r="A26" t="s">
        <v>3750</v>
      </c>
      <c r="B26">
        <v>1</v>
      </c>
      <c r="C26" t="s">
        <v>3298</v>
      </c>
      <c r="D26">
        <v>0</v>
      </c>
    </row>
    <row r="27" spans="1:4" x14ac:dyDescent="0.3">
      <c r="A27" t="s">
        <v>3262</v>
      </c>
      <c r="B27">
        <v>2</v>
      </c>
      <c r="C27" t="s">
        <v>3298</v>
      </c>
      <c r="D27">
        <v>1</v>
      </c>
    </row>
    <row r="28" spans="1:4" x14ac:dyDescent="0.3">
      <c r="A28" t="s">
        <v>3272</v>
      </c>
      <c r="B28">
        <v>1</v>
      </c>
      <c r="C28" t="s">
        <v>3300</v>
      </c>
      <c r="D28">
        <v>87</v>
      </c>
    </row>
    <row r="29" spans="1:4" x14ac:dyDescent="0.3">
      <c r="A29" t="s">
        <v>3270</v>
      </c>
      <c r="B29">
        <v>1</v>
      </c>
      <c r="C29" t="s">
        <v>3300</v>
      </c>
      <c r="D29">
        <v>56</v>
      </c>
    </row>
    <row r="30" spans="1:4" x14ac:dyDescent="0.3">
      <c r="A30" t="s">
        <v>3289</v>
      </c>
      <c r="B30">
        <v>1</v>
      </c>
      <c r="C30" t="s">
        <v>3300</v>
      </c>
      <c r="D30">
        <v>19</v>
      </c>
    </row>
    <row r="31" spans="1:4" x14ac:dyDescent="0.3">
      <c r="A31" t="s">
        <v>3284</v>
      </c>
      <c r="B31">
        <v>1</v>
      </c>
      <c r="C31" t="s">
        <v>3300</v>
      </c>
      <c r="D31">
        <v>167</v>
      </c>
    </row>
    <row r="32" spans="1:4" x14ac:dyDescent="0.3">
      <c r="A32" t="s">
        <v>3277</v>
      </c>
      <c r="B32">
        <v>1</v>
      </c>
      <c r="C32" t="s">
        <v>3300</v>
      </c>
      <c r="D32">
        <v>0</v>
      </c>
    </row>
    <row r="33" spans="1:4" x14ac:dyDescent="0.3">
      <c r="A33" t="s">
        <v>3271</v>
      </c>
      <c r="B33">
        <v>1</v>
      </c>
      <c r="C33" t="s">
        <v>3300</v>
      </c>
      <c r="D33">
        <v>30</v>
      </c>
    </row>
    <row r="34" spans="1:4" x14ac:dyDescent="0.3">
      <c r="A34" t="s">
        <v>3288</v>
      </c>
      <c r="B34">
        <v>1</v>
      </c>
      <c r="C34" t="s">
        <v>3300</v>
      </c>
      <c r="D34">
        <v>0</v>
      </c>
    </row>
  </sheetData>
  <sortState ref="A2:D34">
    <sortCondition ref="C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745"/>
  <sheetViews>
    <sheetView workbookViewId="0"/>
  </sheetViews>
  <sheetFormatPr defaultRowHeight="14.4" x14ac:dyDescent="0.3"/>
  <cols>
    <col min="1" max="1" width="5.77734375" customWidth="1"/>
    <col min="2" max="13" width="1.77734375" customWidth="1"/>
    <col min="14" max="14" width="62.77734375" style="132" customWidth="1"/>
  </cols>
  <sheetData>
    <row r="1" spans="1:14" ht="18" x14ac:dyDescent="0.35">
      <c r="A1" s="121" t="s">
        <v>3728</v>
      </c>
      <c r="N1" s="131" t="s">
        <v>2999</v>
      </c>
    </row>
    <row r="2" spans="1:14" x14ac:dyDescent="0.3">
      <c r="B2" s="134"/>
      <c r="D2" s="134"/>
    </row>
    <row r="3" spans="1:14" ht="20.399999999999999" x14ac:dyDescent="0.35">
      <c r="B3" s="134"/>
      <c r="D3" s="134"/>
      <c r="N3" s="133" t="s">
        <v>3320</v>
      </c>
    </row>
    <row r="4" spans="1:14" x14ac:dyDescent="0.3">
      <c r="B4" s="134"/>
      <c r="D4" s="134"/>
      <c r="N4" s="135" t="s">
        <v>3321</v>
      </c>
    </row>
    <row r="5" spans="1:14" x14ac:dyDescent="0.3">
      <c r="B5" s="134"/>
      <c r="D5" s="134"/>
    </row>
    <row r="6" spans="1:14" x14ac:dyDescent="0.3">
      <c r="A6">
        <v>5</v>
      </c>
      <c r="B6" s="134"/>
      <c r="D6" s="134"/>
      <c r="N6" s="136" t="s">
        <v>3322</v>
      </c>
    </row>
    <row r="7" spans="1:14" x14ac:dyDescent="0.3">
      <c r="B7" s="134"/>
      <c r="D7" s="134"/>
      <c r="N7" s="136" t="s">
        <v>3323</v>
      </c>
    </row>
    <row r="8" spans="1:14" x14ac:dyDescent="0.3">
      <c r="B8" s="134"/>
      <c r="D8" s="134"/>
      <c r="N8" s="136" t="s">
        <v>3324</v>
      </c>
    </row>
    <row r="9" spans="1:14" x14ac:dyDescent="0.3">
      <c r="B9" s="134"/>
      <c r="D9" s="134"/>
      <c r="N9" s="136" t="s">
        <v>3322</v>
      </c>
    </row>
    <row r="10" spans="1:14" x14ac:dyDescent="0.3">
      <c r="B10" s="134"/>
      <c r="D10" s="134"/>
      <c r="N10" s="132" t="s">
        <v>2441</v>
      </c>
    </row>
    <row r="11" spans="1:14" x14ac:dyDescent="0.3">
      <c r="A11">
        <v>10</v>
      </c>
      <c r="B11" s="134"/>
      <c r="D11" s="134"/>
    </row>
    <row r="12" spans="1:14" ht="15.6" x14ac:dyDescent="0.3">
      <c r="B12" s="134"/>
      <c r="D12" s="134"/>
      <c r="N12" s="137" t="s">
        <v>3325</v>
      </c>
    </row>
    <row r="13" spans="1:14" x14ac:dyDescent="0.3">
      <c r="B13" s="134"/>
      <c r="D13" s="134"/>
      <c r="N13" s="132" t="s">
        <v>266</v>
      </c>
    </row>
    <row r="14" spans="1:14" x14ac:dyDescent="0.3">
      <c r="B14" s="134"/>
      <c r="D14" s="134"/>
      <c r="N14" s="136" t="s">
        <v>3326</v>
      </c>
    </row>
    <row r="15" spans="1:14" x14ac:dyDescent="0.3">
      <c r="B15" s="134"/>
      <c r="D15" s="134"/>
      <c r="N15" s="136" t="s">
        <v>3327</v>
      </c>
    </row>
    <row r="16" spans="1:14" x14ac:dyDescent="0.3">
      <c r="A16">
        <v>15</v>
      </c>
      <c r="B16" s="134"/>
      <c r="D16" s="134"/>
      <c r="N16" s="136" t="s">
        <v>3328</v>
      </c>
    </row>
    <row r="17" spans="1:14" x14ac:dyDescent="0.3">
      <c r="B17" s="134"/>
      <c r="D17" s="134"/>
      <c r="N17" s="136" t="s">
        <v>3329</v>
      </c>
    </row>
    <row r="18" spans="1:14" ht="27" x14ac:dyDescent="0.3">
      <c r="B18" s="134"/>
      <c r="D18" s="134"/>
      <c r="N18" s="136" t="s">
        <v>3330</v>
      </c>
    </row>
    <row r="19" spans="1:14" x14ac:dyDescent="0.3">
      <c r="B19" s="134"/>
      <c r="D19" s="134"/>
      <c r="N19" s="136" t="s">
        <v>3331</v>
      </c>
    </row>
    <row r="20" spans="1:14" x14ac:dyDescent="0.3">
      <c r="B20" s="134"/>
      <c r="D20" s="134"/>
      <c r="N20" s="136" t="s">
        <v>3324</v>
      </c>
    </row>
    <row r="21" spans="1:14" ht="27" x14ac:dyDescent="0.3">
      <c r="A21">
        <v>20</v>
      </c>
      <c r="B21" s="134"/>
      <c r="D21" s="134"/>
      <c r="N21" s="136" t="s">
        <v>3332</v>
      </c>
    </row>
    <row r="22" spans="1:14" x14ac:dyDescent="0.3">
      <c r="B22" s="134"/>
      <c r="D22" s="134"/>
      <c r="N22" s="136" t="s">
        <v>3333</v>
      </c>
    </row>
    <row r="23" spans="1:14" x14ac:dyDescent="0.3">
      <c r="B23" s="134"/>
      <c r="D23" s="134"/>
      <c r="N23" s="136" t="s">
        <v>3324</v>
      </c>
    </row>
    <row r="24" spans="1:14" x14ac:dyDescent="0.3">
      <c r="B24" s="134"/>
      <c r="D24" s="134"/>
      <c r="N24" s="132" t="s">
        <v>266</v>
      </c>
    </row>
    <row r="25" spans="1:14" x14ac:dyDescent="0.3">
      <c r="B25" s="134"/>
      <c r="D25" s="134"/>
      <c r="N25" s="136" t="s">
        <v>3334</v>
      </c>
    </row>
    <row r="26" spans="1:14" x14ac:dyDescent="0.3">
      <c r="A26">
        <v>25</v>
      </c>
      <c r="B26" s="134"/>
      <c r="D26" s="134"/>
      <c r="N26" s="132" t="s">
        <v>266</v>
      </c>
    </row>
    <row r="27" spans="1:14" x14ac:dyDescent="0.3">
      <c r="B27" s="134"/>
      <c r="D27" s="134"/>
      <c r="N27" s="135" t="s">
        <v>3335</v>
      </c>
    </row>
    <row r="28" spans="1:14" x14ac:dyDescent="0.3">
      <c r="B28" s="134"/>
      <c r="D28" s="134"/>
      <c r="N28" s="135" t="s">
        <v>3336</v>
      </c>
    </row>
    <row r="29" spans="1:14" x14ac:dyDescent="0.3">
      <c r="B29" s="134"/>
      <c r="D29" s="134"/>
      <c r="N29" s="135" t="s">
        <v>3337</v>
      </c>
    </row>
    <row r="30" spans="1:14" x14ac:dyDescent="0.3">
      <c r="B30" s="134"/>
      <c r="D30" s="134"/>
      <c r="N30" s="135" t="s">
        <v>3338</v>
      </c>
    </row>
    <row r="31" spans="1:14" x14ac:dyDescent="0.3">
      <c r="A31">
        <v>30</v>
      </c>
      <c r="B31" s="134"/>
      <c r="D31" s="134"/>
      <c r="N31" s="135" t="s">
        <v>3339</v>
      </c>
    </row>
    <row r="32" spans="1:14" x14ac:dyDescent="0.3">
      <c r="B32" s="134"/>
      <c r="D32" s="134"/>
      <c r="N32" s="135" t="s">
        <v>3340</v>
      </c>
    </row>
    <row r="33" spans="1:14" x14ac:dyDescent="0.3">
      <c r="B33" s="134"/>
      <c r="D33" s="134"/>
      <c r="N33" s="135" t="s">
        <v>313</v>
      </c>
    </row>
    <row r="34" spans="1:14" x14ac:dyDescent="0.3">
      <c r="B34" s="134"/>
      <c r="D34" s="134"/>
      <c r="N34" s="135" t="s">
        <v>3341</v>
      </c>
    </row>
    <row r="35" spans="1:14" x14ac:dyDescent="0.3">
      <c r="B35" s="134"/>
      <c r="D35" s="134"/>
      <c r="N35" s="135" t="s">
        <v>3342</v>
      </c>
    </row>
    <row r="36" spans="1:14" x14ac:dyDescent="0.3">
      <c r="A36">
        <v>35</v>
      </c>
      <c r="B36" s="134"/>
      <c r="D36" s="134"/>
      <c r="N36" s="135" t="s">
        <v>3343</v>
      </c>
    </row>
    <row r="37" spans="1:14" x14ac:dyDescent="0.3">
      <c r="B37" s="134"/>
      <c r="D37" s="134"/>
      <c r="N37" s="135" t="s">
        <v>2302</v>
      </c>
    </row>
    <row r="38" spans="1:14" x14ac:dyDescent="0.3">
      <c r="B38" s="134"/>
      <c r="D38" s="134"/>
      <c r="N38" s="135" t="s">
        <v>3344</v>
      </c>
    </row>
    <row r="39" spans="1:14" x14ac:dyDescent="0.3">
      <c r="B39" s="134"/>
      <c r="D39" s="134"/>
      <c r="N39" s="135" t="s">
        <v>3345</v>
      </c>
    </row>
    <row r="40" spans="1:14" x14ac:dyDescent="0.3">
      <c r="B40" s="134"/>
      <c r="D40" s="134"/>
      <c r="N40" s="135" t="s">
        <v>3346</v>
      </c>
    </row>
    <row r="41" spans="1:14" x14ac:dyDescent="0.3">
      <c r="A41">
        <v>40</v>
      </c>
      <c r="B41" s="134"/>
      <c r="D41" s="134"/>
      <c r="N41" s="135" t="s">
        <v>3347</v>
      </c>
    </row>
    <row r="42" spans="1:14" x14ac:dyDescent="0.3">
      <c r="B42" s="134"/>
      <c r="D42" s="134"/>
      <c r="N42" s="135" t="s">
        <v>3348</v>
      </c>
    </row>
    <row r="43" spans="1:14" x14ac:dyDescent="0.3">
      <c r="B43" s="134"/>
      <c r="D43" s="134"/>
      <c r="N43" s="135" t="s">
        <v>3349</v>
      </c>
    </row>
    <row r="44" spans="1:14" x14ac:dyDescent="0.3">
      <c r="B44" s="134"/>
      <c r="D44" s="134"/>
      <c r="N44" s="135" t="s">
        <v>3735</v>
      </c>
    </row>
    <row r="45" spans="1:14" x14ac:dyDescent="0.3">
      <c r="B45" s="134"/>
      <c r="D45" s="134"/>
      <c r="N45" s="132" t="s">
        <v>266</v>
      </c>
    </row>
    <row r="46" spans="1:14" x14ac:dyDescent="0.3">
      <c r="A46">
        <v>45</v>
      </c>
      <c r="B46" s="134"/>
      <c r="D46" s="134"/>
      <c r="N46" s="136" t="s">
        <v>3350</v>
      </c>
    </row>
    <row r="47" spans="1:14" x14ac:dyDescent="0.3">
      <c r="B47" s="134"/>
      <c r="D47" s="134"/>
      <c r="N47" s="135" t="s">
        <v>3351</v>
      </c>
    </row>
    <row r="48" spans="1:14" x14ac:dyDescent="0.3">
      <c r="B48" s="134"/>
      <c r="D48" s="134"/>
      <c r="N48" s="135" t="s">
        <v>3352</v>
      </c>
    </row>
    <row r="49" spans="1:14" x14ac:dyDescent="0.3">
      <c r="B49" s="134"/>
      <c r="D49" s="134"/>
      <c r="N49" s="132" t="s">
        <v>266</v>
      </c>
    </row>
    <row r="50" spans="1:14" x14ac:dyDescent="0.3">
      <c r="B50" s="134"/>
      <c r="D50" s="134"/>
      <c r="N50" s="135" t="s">
        <v>3353</v>
      </c>
    </row>
    <row r="51" spans="1:14" x14ac:dyDescent="0.3">
      <c r="A51">
        <v>50</v>
      </c>
      <c r="B51" s="134"/>
      <c r="D51" s="134"/>
      <c r="N51" s="135" t="s">
        <v>3354</v>
      </c>
    </row>
    <row r="52" spans="1:14" x14ac:dyDescent="0.3">
      <c r="B52" s="134"/>
      <c r="D52" s="134"/>
      <c r="N52" s="132" t="s">
        <v>266</v>
      </c>
    </row>
    <row r="53" spans="1:14" x14ac:dyDescent="0.3">
      <c r="B53" s="134"/>
      <c r="D53" s="134"/>
      <c r="N53" s="135" t="s">
        <v>3355</v>
      </c>
    </row>
    <row r="54" spans="1:14" x14ac:dyDescent="0.3">
      <c r="B54" s="139" t="s">
        <v>3107</v>
      </c>
      <c r="D54" s="134"/>
      <c r="N54" s="136" t="s">
        <v>3356</v>
      </c>
    </row>
    <row r="55" spans="1:14" ht="15.6" x14ac:dyDescent="0.3">
      <c r="B55" s="134">
        <v>1</v>
      </c>
      <c r="D55" s="134"/>
      <c r="N55" s="138" t="s">
        <v>3357</v>
      </c>
    </row>
    <row r="56" spans="1:14" ht="30.6" x14ac:dyDescent="0.3">
      <c r="A56">
        <v>55</v>
      </c>
      <c r="B56" s="140" t="s">
        <v>3110</v>
      </c>
      <c r="D56" s="134"/>
      <c r="N56" s="138" t="s">
        <v>3358</v>
      </c>
    </row>
    <row r="57" spans="1:14" ht="15.6" x14ac:dyDescent="0.3">
      <c r="B57" s="134"/>
      <c r="D57" s="134"/>
      <c r="N57" s="138" t="s">
        <v>3317</v>
      </c>
    </row>
    <row r="58" spans="1:14" ht="15.6" x14ac:dyDescent="0.3">
      <c r="B58" s="134"/>
      <c r="D58" s="134"/>
      <c r="N58" s="138" t="s">
        <v>3359</v>
      </c>
    </row>
    <row r="59" spans="1:14" x14ac:dyDescent="0.3">
      <c r="B59" s="134"/>
      <c r="D59" s="134"/>
      <c r="N59" s="135" t="s">
        <v>3360</v>
      </c>
    </row>
    <row r="60" spans="1:14" x14ac:dyDescent="0.3">
      <c r="B60" s="134"/>
      <c r="D60" s="134"/>
    </row>
    <row r="61" spans="1:14" x14ac:dyDescent="0.3">
      <c r="A61">
        <v>60</v>
      </c>
      <c r="B61" s="134"/>
      <c r="D61" s="134"/>
      <c r="N61" s="135" t="s">
        <v>3361</v>
      </c>
    </row>
    <row r="62" spans="1:14" x14ac:dyDescent="0.3">
      <c r="B62" s="134"/>
      <c r="D62" s="134"/>
    </row>
    <row r="63" spans="1:14" x14ac:dyDescent="0.3">
      <c r="B63" s="134"/>
      <c r="D63" s="134"/>
      <c r="N63" s="135" t="s">
        <v>3362</v>
      </c>
    </row>
    <row r="64" spans="1:14" x14ac:dyDescent="0.3">
      <c r="B64" s="134"/>
      <c r="D64" s="134"/>
    </row>
    <row r="65" spans="1:14" x14ac:dyDescent="0.3">
      <c r="B65" s="134"/>
      <c r="D65" s="134"/>
      <c r="N65" s="135" t="s">
        <v>3363</v>
      </c>
    </row>
    <row r="66" spans="1:14" x14ac:dyDescent="0.3">
      <c r="A66">
        <v>65</v>
      </c>
      <c r="B66" s="134"/>
      <c r="D66" s="134"/>
      <c r="N66" s="135" t="s">
        <v>3364</v>
      </c>
    </row>
    <row r="67" spans="1:14" x14ac:dyDescent="0.3">
      <c r="B67" s="134"/>
      <c r="D67" s="134"/>
      <c r="N67" s="135" t="s">
        <v>3365</v>
      </c>
    </row>
    <row r="68" spans="1:14" x14ac:dyDescent="0.3">
      <c r="B68" s="134"/>
      <c r="D68" s="134"/>
      <c r="N68" s="132" t="s">
        <v>3420</v>
      </c>
    </row>
    <row r="69" spans="1:14" x14ac:dyDescent="0.3">
      <c r="B69" s="139" t="s">
        <v>3107</v>
      </c>
      <c r="D69" s="134"/>
      <c r="N69" s="136" t="s">
        <v>3736</v>
      </c>
    </row>
    <row r="70" spans="1:14" ht="15.6" x14ac:dyDescent="0.3">
      <c r="B70" s="134">
        <v>1</v>
      </c>
      <c r="D70" s="134"/>
      <c r="N70" s="138" t="s">
        <v>3366</v>
      </c>
    </row>
    <row r="71" spans="1:14" x14ac:dyDescent="0.3">
      <c r="A71">
        <v>70</v>
      </c>
      <c r="B71" s="134">
        <v>1</v>
      </c>
      <c r="D71" s="134"/>
      <c r="N71" s="132" t="s">
        <v>266</v>
      </c>
    </row>
    <row r="72" spans="1:14" x14ac:dyDescent="0.3">
      <c r="B72" s="134">
        <v>1</v>
      </c>
      <c r="D72" s="134"/>
      <c r="F72" s="139" t="s">
        <v>3107</v>
      </c>
      <c r="H72" s="134"/>
      <c r="N72" s="136" t="s">
        <v>3737</v>
      </c>
    </row>
    <row r="73" spans="1:14" ht="15.6" x14ac:dyDescent="0.3">
      <c r="B73" s="134">
        <v>1</v>
      </c>
      <c r="D73" s="134"/>
      <c r="F73" s="134">
        <v>1</v>
      </c>
      <c r="H73" s="134"/>
      <c r="N73" s="138" t="s">
        <v>3734</v>
      </c>
    </row>
    <row r="74" spans="1:14" x14ac:dyDescent="0.3">
      <c r="B74" s="134">
        <v>1</v>
      </c>
      <c r="D74" s="134"/>
      <c r="F74" s="134">
        <v>1</v>
      </c>
      <c r="H74" s="134"/>
      <c r="N74" s="135" t="s">
        <v>3738</v>
      </c>
    </row>
    <row r="75" spans="1:14" x14ac:dyDescent="0.3">
      <c r="B75" s="134">
        <v>1</v>
      </c>
      <c r="D75" s="134"/>
      <c r="F75" s="134">
        <v>1</v>
      </c>
      <c r="H75" s="134"/>
      <c r="N75" s="135" t="s">
        <v>3739</v>
      </c>
    </row>
    <row r="76" spans="1:14" x14ac:dyDescent="0.3">
      <c r="A76">
        <v>75</v>
      </c>
      <c r="B76" s="134">
        <v>1</v>
      </c>
      <c r="D76" s="134"/>
      <c r="F76" s="134">
        <v>1</v>
      </c>
      <c r="H76" s="134"/>
      <c r="N76" s="135" t="s">
        <v>3720</v>
      </c>
    </row>
    <row r="77" spans="1:14" ht="15.6" x14ac:dyDescent="0.3">
      <c r="B77" s="134">
        <v>1</v>
      </c>
      <c r="D77" s="134"/>
      <c r="F77" s="140" t="s">
        <v>3110</v>
      </c>
      <c r="N77" s="138" t="s">
        <v>2321</v>
      </c>
    </row>
    <row r="78" spans="1:14" ht="15.6" x14ac:dyDescent="0.3">
      <c r="B78" s="134">
        <v>1</v>
      </c>
      <c r="D78" s="134"/>
      <c r="N78" s="138" t="s">
        <v>319</v>
      </c>
    </row>
    <row r="79" spans="1:14" x14ac:dyDescent="0.3">
      <c r="B79" s="134">
        <v>1</v>
      </c>
      <c r="D79" s="134"/>
      <c r="N79" s="132" t="s">
        <v>266</v>
      </c>
    </row>
    <row r="80" spans="1:14" ht="27" x14ac:dyDescent="0.3">
      <c r="B80" s="134">
        <v>1</v>
      </c>
      <c r="D80" s="134"/>
      <c r="N80" s="136" t="s">
        <v>3367</v>
      </c>
    </row>
    <row r="81" spans="1:14" x14ac:dyDescent="0.3">
      <c r="A81">
        <v>80</v>
      </c>
      <c r="B81" s="134">
        <v>1</v>
      </c>
      <c r="D81" s="134"/>
      <c r="N81" s="136" t="s">
        <v>3368</v>
      </c>
    </row>
    <row r="82" spans="1:14" x14ac:dyDescent="0.3">
      <c r="B82" s="134">
        <v>1</v>
      </c>
      <c r="D82" s="134"/>
      <c r="N82" s="135" t="s">
        <v>3369</v>
      </c>
    </row>
    <row r="83" spans="1:14" x14ac:dyDescent="0.3">
      <c r="B83" s="134">
        <v>1</v>
      </c>
      <c r="D83" s="134"/>
      <c r="N83" s="135" t="s">
        <v>3370</v>
      </c>
    </row>
    <row r="84" spans="1:14" x14ac:dyDescent="0.3">
      <c r="B84" s="134">
        <v>1</v>
      </c>
      <c r="D84" s="134"/>
      <c r="N84" s="136" t="s">
        <v>3371</v>
      </c>
    </row>
    <row r="85" spans="1:14" x14ac:dyDescent="0.3">
      <c r="B85" s="134">
        <v>1</v>
      </c>
      <c r="D85" s="134"/>
      <c r="N85" s="135" t="s">
        <v>3372</v>
      </c>
    </row>
    <row r="86" spans="1:14" x14ac:dyDescent="0.3">
      <c r="A86">
        <v>85</v>
      </c>
      <c r="B86" s="134">
        <v>1</v>
      </c>
      <c r="D86" s="134"/>
      <c r="N86" s="135" t="s">
        <v>3364</v>
      </c>
    </row>
    <row r="87" spans="1:14" x14ac:dyDescent="0.3">
      <c r="B87" s="134">
        <v>1</v>
      </c>
      <c r="D87" s="134"/>
      <c r="N87" s="135" t="s">
        <v>3365</v>
      </c>
    </row>
    <row r="88" spans="1:14" x14ac:dyDescent="0.3">
      <c r="B88" s="134">
        <v>1</v>
      </c>
      <c r="D88" s="134"/>
      <c r="N88" s="135" t="s">
        <v>3373</v>
      </c>
    </row>
    <row r="89" spans="1:14" x14ac:dyDescent="0.3">
      <c r="B89" s="134">
        <v>1</v>
      </c>
      <c r="D89" s="134"/>
      <c r="N89" s="132" t="s">
        <v>266</v>
      </c>
    </row>
    <row r="90" spans="1:14" x14ac:dyDescent="0.3">
      <c r="B90" s="134">
        <v>1</v>
      </c>
      <c r="D90" s="134"/>
      <c r="F90" s="139" t="s">
        <v>3107</v>
      </c>
      <c r="H90" s="134"/>
      <c r="N90" s="136" t="s">
        <v>3374</v>
      </c>
    </row>
    <row r="91" spans="1:14" ht="15.6" x14ac:dyDescent="0.3">
      <c r="A91">
        <v>90</v>
      </c>
      <c r="B91" s="134">
        <v>1</v>
      </c>
      <c r="D91" s="134"/>
      <c r="F91" s="134">
        <v>1</v>
      </c>
      <c r="H91" s="134"/>
      <c r="N91" s="138" t="s">
        <v>3375</v>
      </c>
    </row>
    <row r="92" spans="1:14" x14ac:dyDescent="0.3">
      <c r="B92" s="134">
        <v>1</v>
      </c>
      <c r="D92" s="134"/>
      <c r="F92" s="134">
        <v>1</v>
      </c>
      <c r="H92" s="134"/>
      <c r="N92" s="132" t="s">
        <v>266</v>
      </c>
    </row>
    <row r="93" spans="1:14" x14ac:dyDescent="0.3">
      <c r="B93" s="134">
        <v>1</v>
      </c>
      <c r="D93" s="134"/>
      <c r="H93" s="139" t="s">
        <v>3107</v>
      </c>
      <c r="J93" s="140"/>
      <c r="N93" s="135" t="s">
        <v>3376</v>
      </c>
    </row>
    <row r="94" spans="1:14" ht="15.6" x14ac:dyDescent="0.3">
      <c r="B94" s="134">
        <v>1</v>
      </c>
      <c r="D94" s="134"/>
      <c r="H94" s="140">
        <v>2</v>
      </c>
      <c r="J94" s="140"/>
      <c r="N94" s="138" t="s">
        <v>3377</v>
      </c>
    </row>
    <row r="95" spans="1:14" x14ac:dyDescent="0.3">
      <c r="B95" s="134">
        <v>1</v>
      </c>
      <c r="D95" s="134"/>
      <c r="H95" s="140">
        <v>2</v>
      </c>
      <c r="J95" s="140"/>
      <c r="N95" s="135" t="s">
        <v>3378</v>
      </c>
    </row>
    <row r="96" spans="1:14" ht="15.6" x14ac:dyDescent="0.3">
      <c r="A96">
        <v>95</v>
      </c>
      <c r="B96" s="134">
        <v>1</v>
      </c>
      <c r="D96" s="134"/>
      <c r="H96" s="140">
        <v>2</v>
      </c>
      <c r="J96" s="140"/>
      <c r="N96" s="138" t="s">
        <v>3379</v>
      </c>
    </row>
    <row r="97" spans="1:14" x14ac:dyDescent="0.3">
      <c r="B97" s="134">
        <v>1</v>
      </c>
      <c r="D97" s="134"/>
      <c r="F97" s="134">
        <v>1</v>
      </c>
      <c r="H97" s="140" t="s">
        <v>3110</v>
      </c>
      <c r="N97" s="135" t="s">
        <v>3380</v>
      </c>
    </row>
    <row r="98" spans="1:14" ht="15.6" x14ac:dyDescent="0.3">
      <c r="B98" s="134">
        <v>1</v>
      </c>
      <c r="D98" s="134"/>
      <c r="F98" s="134">
        <v>1</v>
      </c>
      <c r="H98" s="134"/>
      <c r="N98" s="138" t="s">
        <v>3381</v>
      </c>
    </row>
    <row r="99" spans="1:14" x14ac:dyDescent="0.3">
      <c r="B99" s="134">
        <v>1</v>
      </c>
      <c r="D99" s="134"/>
      <c r="F99" s="134">
        <v>1</v>
      </c>
      <c r="H99" s="134"/>
      <c r="N99" s="132" t="s">
        <v>314</v>
      </c>
    </row>
    <row r="100" spans="1:14" ht="15.6" x14ac:dyDescent="0.3">
      <c r="B100" s="134">
        <v>1</v>
      </c>
      <c r="D100" s="134"/>
      <c r="H100" s="139" t="s">
        <v>3107</v>
      </c>
      <c r="J100" s="140"/>
      <c r="N100" s="138" t="s">
        <v>3382</v>
      </c>
    </row>
    <row r="101" spans="1:14" ht="15.6" x14ac:dyDescent="0.3">
      <c r="A101">
        <v>100</v>
      </c>
      <c r="B101" s="134">
        <v>1</v>
      </c>
      <c r="D101" s="134"/>
      <c r="H101" s="140">
        <v>2</v>
      </c>
      <c r="J101" s="140"/>
      <c r="N101" s="138" t="s">
        <v>3383</v>
      </c>
    </row>
    <row r="102" spans="1:14" x14ac:dyDescent="0.3">
      <c r="B102" s="134">
        <v>1</v>
      </c>
      <c r="D102" s="134"/>
      <c r="H102" s="140">
        <v>2</v>
      </c>
      <c r="J102" s="140"/>
      <c r="N102" s="136" t="s">
        <v>3384</v>
      </c>
    </row>
    <row r="103" spans="1:14" x14ac:dyDescent="0.3">
      <c r="B103" s="134">
        <v>1</v>
      </c>
      <c r="D103" s="134"/>
      <c r="H103" s="140">
        <v>2</v>
      </c>
      <c r="J103" s="140"/>
      <c r="N103" s="135" t="s">
        <v>3385</v>
      </c>
    </row>
    <row r="104" spans="1:14" x14ac:dyDescent="0.3">
      <c r="B104" s="134">
        <v>1</v>
      </c>
      <c r="D104" s="134"/>
      <c r="H104" s="140">
        <v>2</v>
      </c>
      <c r="J104" s="140"/>
      <c r="N104" s="136" t="s">
        <v>3386</v>
      </c>
    </row>
    <row r="105" spans="1:14" ht="30.6" x14ac:dyDescent="0.3">
      <c r="B105" s="134">
        <v>1</v>
      </c>
      <c r="D105" s="134"/>
      <c r="H105" s="140">
        <v>2</v>
      </c>
      <c r="J105" s="140"/>
      <c r="N105" s="138" t="s">
        <v>3387</v>
      </c>
    </row>
    <row r="106" spans="1:14" ht="15.6" x14ac:dyDescent="0.3">
      <c r="A106">
        <v>105</v>
      </c>
      <c r="B106" s="134">
        <v>1</v>
      </c>
      <c r="D106" s="134"/>
      <c r="F106" s="134">
        <v>1</v>
      </c>
      <c r="H106" s="140" t="s">
        <v>3110</v>
      </c>
      <c r="N106" s="138" t="s">
        <v>3388</v>
      </c>
    </row>
    <row r="107" spans="1:14" ht="15.6" x14ac:dyDescent="0.3">
      <c r="B107" s="134">
        <v>1</v>
      </c>
      <c r="D107" s="134"/>
      <c r="F107" s="134">
        <v>1</v>
      </c>
      <c r="H107" s="134"/>
      <c r="N107" s="138" t="s">
        <v>3389</v>
      </c>
    </row>
    <row r="108" spans="1:14" x14ac:dyDescent="0.3">
      <c r="B108" s="134">
        <v>1</v>
      </c>
      <c r="D108" s="134"/>
      <c r="H108" s="139" t="s">
        <v>3107</v>
      </c>
      <c r="J108" s="140"/>
      <c r="N108" s="132" t="s">
        <v>267</v>
      </c>
    </row>
    <row r="109" spans="1:14" ht="15.6" x14ac:dyDescent="0.3">
      <c r="B109" s="134">
        <v>1</v>
      </c>
      <c r="D109" s="134"/>
      <c r="H109" s="140">
        <v>2</v>
      </c>
      <c r="J109" s="140"/>
      <c r="N109" s="138" t="s">
        <v>3390</v>
      </c>
    </row>
    <row r="110" spans="1:14" x14ac:dyDescent="0.3">
      <c r="B110" s="134">
        <v>1</v>
      </c>
      <c r="D110" s="134"/>
      <c r="H110" s="140">
        <v>2</v>
      </c>
      <c r="J110" s="140"/>
      <c r="N110" s="136" t="s">
        <v>3391</v>
      </c>
    </row>
    <row r="111" spans="1:14" x14ac:dyDescent="0.3">
      <c r="A111">
        <v>110</v>
      </c>
      <c r="B111" s="134">
        <v>1</v>
      </c>
      <c r="D111" s="134"/>
      <c r="H111" s="140">
        <v>2</v>
      </c>
      <c r="J111" s="140"/>
      <c r="N111" s="135" t="s">
        <v>3392</v>
      </c>
    </row>
    <row r="112" spans="1:14" x14ac:dyDescent="0.3">
      <c r="B112" s="134">
        <v>1</v>
      </c>
      <c r="D112" s="134"/>
      <c r="H112" s="140">
        <v>2</v>
      </c>
      <c r="J112" s="140"/>
      <c r="N112" s="136" t="s">
        <v>3386</v>
      </c>
    </row>
    <row r="113" spans="1:14" ht="30.6" x14ac:dyDescent="0.3">
      <c r="B113" s="134">
        <v>1</v>
      </c>
      <c r="D113" s="134"/>
      <c r="H113" s="140">
        <v>2</v>
      </c>
      <c r="J113" s="140"/>
      <c r="N113" s="138" t="s">
        <v>3393</v>
      </c>
    </row>
    <row r="114" spans="1:14" ht="15.6" x14ac:dyDescent="0.3">
      <c r="B114" s="134">
        <v>1</v>
      </c>
      <c r="D114" s="134"/>
      <c r="F114" s="134">
        <v>1</v>
      </c>
      <c r="H114" s="140" t="s">
        <v>3110</v>
      </c>
      <c r="N114" s="138" t="s">
        <v>3388</v>
      </c>
    </row>
    <row r="115" spans="1:14" ht="15.6" x14ac:dyDescent="0.3">
      <c r="B115" s="134">
        <v>1</v>
      </c>
      <c r="D115" s="134"/>
      <c r="F115" s="134">
        <v>1</v>
      </c>
      <c r="H115" s="134"/>
      <c r="N115" s="138" t="s">
        <v>3389</v>
      </c>
    </row>
    <row r="116" spans="1:14" x14ac:dyDescent="0.3">
      <c r="A116">
        <v>115</v>
      </c>
      <c r="B116" s="134">
        <v>1</v>
      </c>
      <c r="D116" s="134"/>
      <c r="F116" s="134">
        <v>1</v>
      </c>
      <c r="H116" s="134"/>
      <c r="N116" s="132" t="s">
        <v>266</v>
      </c>
    </row>
    <row r="117" spans="1:14" x14ac:dyDescent="0.3">
      <c r="B117" s="134">
        <v>1</v>
      </c>
      <c r="D117" s="134"/>
      <c r="F117" s="134">
        <v>1</v>
      </c>
      <c r="H117" s="134"/>
      <c r="N117" s="136" t="s">
        <v>3394</v>
      </c>
    </row>
    <row r="118" spans="1:14" x14ac:dyDescent="0.3">
      <c r="B118" s="134">
        <v>1</v>
      </c>
      <c r="D118" s="134"/>
      <c r="F118" s="134">
        <v>1</v>
      </c>
      <c r="H118" s="134"/>
      <c r="N118" s="136" t="s">
        <v>3395</v>
      </c>
    </row>
    <row r="119" spans="1:14" x14ac:dyDescent="0.3">
      <c r="B119" s="134">
        <v>1</v>
      </c>
      <c r="D119" s="134"/>
      <c r="F119" s="134">
        <v>1</v>
      </c>
      <c r="H119" s="134"/>
      <c r="N119" s="132" t="s">
        <v>312</v>
      </c>
    </row>
    <row r="120" spans="1:14" x14ac:dyDescent="0.3">
      <c r="B120" s="134">
        <v>1</v>
      </c>
      <c r="D120" s="134"/>
      <c r="F120" s="134">
        <v>1</v>
      </c>
      <c r="H120" s="134"/>
      <c r="N120" s="135" t="s">
        <v>3396</v>
      </c>
    </row>
    <row r="121" spans="1:14" x14ac:dyDescent="0.3">
      <c r="A121">
        <v>120</v>
      </c>
      <c r="B121" s="134">
        <v>1</v>
      </c>
      <c r="D121" s="134"/>
      <c r="F121" s="134">
        <v>1</v>
      </c>
      <c r="H121" s="134"/>
      <c r="N121" s="132" t="s">
        <v>2383</v>
      </c>
    </row>
    <row r="122" spans="1:14" x14ac:dyDescent="0.3">
      <c r="B122" s="134">
        <v>1</v>
      </c>
      <c r="D122" s="134"/>
      <c r="F122" s="134">
        <v>1</v>
      </c>
      <c r="H122" s="134"/>
      <c r="N122" s="135" t="s">
        <v>3397</v>
      </c>
    </row>
    <row r="123" spans="1:14" x14ac:dyDescent="0.3">
      <c r="B123" s="134">
        <v>1</v>
      </c>
      <c r="D123" s="134"/>
      <c r="F123" s="134">
        <v>1</v>
      </c>
      <c r="H123" s="134"/>
      <c r="N123" s="135" t="s">
        <v>3398</v>
      </c>
    </row>
    <row r="124" spans="1:14" x14ac:dyDescent="0.3">
      <c r="B124" s="134">
        <v>1</v>
      </c>
      <c r="D124" s="134"/>
      <c r="F124" s="134">
        <v>1</v>
      </c>
      <c r="H124" s="134"/>
      <c r="N124" s="135" t="s">
        <v>3399</v>
      </c>
    </row>
    <row r="125" spans="1:14" x14ac:dyDescent="0.3">
      <c r="B125" s="134">
        <v>1</v>
      </c>
      <c r="D125" s="134"/>
      <c r="F125" s="134">
        <v>1</v>
      </c>
      <c r="H125" s="134"/>
      <c r="N125" s="135" t="s">
        <v>3400</v>
      </c>
    </row>
    <row r="126" spans="1:14" x14ac:dyDescent="0.3">
      <c r="A126">
        <v>125</v>
      </c>
      <c r="B126" s="134">
        <v>1</v>
      </c>
      <c r="D126" s="134"/>
      <c r="F126" s="134">
        <v>1</v>
      </c>
      <c r="H126" s="134"/>
      <c r="N126" s="135" t="s">
        <v>3401</v>
      </c>
    </row>
    <row r="127" spans="1:14" x14ac:dyDescent="0.3">
      <c r="B127" s="134">
        <v>1</v>
      </c>
      <c r="D127" s="134"/>
      <c r="F127" s="134">
        <v>1</v>
      </c>
      <c r="H127" s="134"/>
      <c r="N127" s="132" t="s">
        <v>266</v>
      </c>
    </row>
    <row r="128" spans="1:14" x14ac:dyDescent="0.3">
      <c r="B128" s="134">
        <v>1</v>
      </c>
      <c r="D128" s="134"/>
      <c r="F128" s="134">
        <v>1</v>
      </c>
      <c r="H128" s="134"/>
      <c r="N128" s="135" t="s">
        <v>3402</v>
      </c>
    </row>
    <row r="129" spans="1:14" x14ac:dyDescent="0.3">
      <c r="B129" s="134">
        <v>1</v>
      </c>
      <c r="D129" s="134"/>
      <c r="F129" s="134">
        <v>1</v>
      </c>
      <c r="H129" s="134"/>
      <c r="N129" s="135" t="s">
        <v>3403</v>
      </c>
    </row>
    <row r="130" spans="1:14" x14ac:dyDescent="0.3">
      <c r="B130" s="134">
        <v>1</v>
      </c>
      <c r="D130" s="134"/>
      <c r="F130" s="134">
        <v>1</v>
      </c>
      <c r="H130" s="134"/>
      <c r="N130" s="135" t="s">
        <v>3399</v>
      </c>
    </row>
    <row r="131" spans="1:14" x14ac:dyDescent="0.3">
      <c r="A131">
        <v>130</v>
      </c>
      <c r="B131" s="134">
        <v>1</v>
      </c>
      <c r="D131" s="134"/>
      <c r="F131" s="134">
        <v>1</v>
      </c>
      <c r="H131" s="134"/>
      <c r="N131" s="135" t="s">
        <v>3400</v>
      </c>
    </row>
    <row r="132" spans="1:14" x14ac:dyDescent="0.3">
      <c r="B132" s="134">
        <v>1</v>
      </c>
      <c r="D132" s="134"/>
      <c r="F132" s="134">
        <v>1</v>
      </c>
      <c r="H132" s="134"/>
      <c r="N132" s="135" t="s">
        <v>3401</v>
      </c>
    </row>
    <row r="133" spans="1:14" x14ac:dyDescent="0.3">
      <c r="B133" s="134">
        <v>1</v>
      </c>
      <c r="D133" s="134"/>
      <c r="F133" s="134">
        <v>1</v>
      </c>
      <c r="H133" s="134"/>
      <c r="N133" s="132" t="s">
        <v>267</v>
      </c>
    </row>
    <row r="134" spans="1:14" x14ac:dyDescent="0.3">
      <c r="B134" s="134">
        <v>1</v>
      </c>
      <c r="D134" s="134"/>
      <c r="F134" s="134">
        <v>1</v>
      </c>
      <c r="H134" s="134"/>
      <c r="N134" s="135" t="s">
        <v>3404</v>
      </c>
    </row>
    <row r="135" spans="1:14" x14ac:dyDescent="0.3">
      <c r="B135" s="134">
        <v>1</v>
      </c>
      <c r="D135" s="134"/>
      <c r="F135" s="134">
        <v>1</v>
      </c>
      <c r="H135" s="134"/>
      <c r="N135" s="135" t="s">
        <v>3405</v>
      </c>
    </row>
    <row r="136" spans="1:14" x14ac:dyDescent="0.3">
      <c r="A136">
        <v>135</v>
      </c>
      <c r="B136" s="134">
        <v>1</v>
      </c>
      <c r="D136" s="134"/>
      <c r="F136" s="134">
        <v>1</v>
      </c>
      <c r="H136" s="134"/>
      <c r="N136" s="135" t="s">
        <v>3406</v>
      </c>
    </row>
    <row r="137" spans="1:14" x14ac:dyDescent="0.3">
      <c r="B137" s="134">
        <v>1</v>
      </c>
      <c r="D137" s="134"/>
      <c r="F137" s="134">
        <v>1</v>
      </c>
      <c r="H137" s="134"/>
      <c r="N137" s="135" t="s">
        <v>3407</v>
      </c>
    </row>
    <row r="138" spans="1:14" x14ac:dyDescent="0.3">
      <c r="B138" s="134">
        <v>1</v>
      </c>
      <c r="D138" s="134"/>
      <c r="F138" s="134">
        <v>1</v>
      </c>
      <c r="H138" s="134"/>
      <c r="N138" s="135" t="s">
        <v>3408</v>
      </c>
    </row>
    <row r="139" spans="1:14" x14ac:dyDescent="0.3">
      <c r="B139" s="134">
        <v>1</v>
      </c>
      <c r="D139" s="134"/>
      <c r="F139" s="134">
        <v>1</v>
      </c>
      <c r="H139" s="134"/>
      <c r="N139" s="132" t="s">
        <v>267</v>
      </c>
    </row>
    <row r="140" spans="1:14" x14ac:dyDescent="0.3">
      <c r="B140" s="134">
        <v>1</v>
      </c>
      <c r="D140" s="134"/>
      <c r="F140" s="134">
        <v>1</v>
      </c>
      <c r="H140" s="134"/>
      <c r="N140" s="135" t="s">
        <v>3409</v>
      </c>
    </row>
    <row r="141" spans="1:14" x14ac:dyDescent="0.3">
      <c r="A141">
        <v>140</v>
      </c>
      <c r="B141" s="134">
        <v>1</v>
      </c>
      <c r="D141" s="134"/>
      <c r="F141" s="134">
        <v>1</v>
      </c>
      <c r="H141" s="134"/>
      <c r="N141" s="135" t="s">
        <v>3410</v>
      </c>
    </row>
    <row r="142" spans="1:14" x14ac:dyDescent="0.3">
      <c r="B142" s="134">
        <v>1</v>
      </c>
      <c r="D142" s="134"/>
      <c r="F142" s="134">
        <v>1</v>
      </c>
      <c r="H142" s="134"/>
      <c r="N142" s="135" t="s">
        <v>3406</v>
      </c>
    </row>
    <row r="143" spans="1:14" x14ac:dyDescent="0.3">
      <c r="B143" s="134">
        <v>1</v>
      </c>
      <c r="D143" s="134"/>
      <c r="F143" s="134">
        <v>1</v>
      </c>
      <c r="H143" s="134"/>
      <c r="N143" s="135" t="s">
        <v>3411</v>
      </c>
    </row>
    <row r="144" spans="1:14" x14ac:dyDescent="0.3">
      <c r="B144" s="134">
        <v>1</v>
      </c>
      <c r="D144" s="134"/>
      <c r="F144" s="134">
        <v>1</v>
      </c>
      <c r="H144" s="134"/>
      <c r="N144" s="135" t="s">
        <v>3408</v>
      </c>
    </row>
    <row r="145" spans="1:14" x14ac:dyDescent="0.3">
      <c r="B145" s="134">
        <v>1</v>
      </c>
      <c r="D145" s="134"/>
      <c r="F145" s="134">
        <v>1</v>
      </c>
      <c r="H145" s="134"/>
      <c r="N145" s="132" t="s">
        <v>275</v>
      </c>
    </row>
    <row r="146" spans="1:14" x14ac:dyDescent="0.3">
      <c r="A146">
        <v>145</v>
      </c>
      <c r="B146" s="134">
        <v>1</v>
      </c>
      <c r="D146" s="134"/>
      <c r="F146" s="134">
        <v>1</v>
      </c>
      <c r="H146" s="134"/>
      <c r="N146" s="135" t="s">
        <v>3412</v>
      </c>
    </row>
    <row r="147" spans="1:14" x14ac:dyDescent="0.3">
      <c r="B147" s="134">
        <v>1</v>
      </c>
      <c r="D147" s="134"/>
      <c r="F147" s="134">
        <v>1</v>
      </c>
      <c r="H147" s="134"/>
      <c r="N147" s="135" t="s">
        <v>3413</v>
      </c>
    </row>
    <row r="148" spans="1:14" x14ac:dyDescent="0.3">
      <c r="B148" s="134">
        <v>1</v>
      </c>
      <c r="D148" s="134"/>
      <c r="F148" s="134">
        <v>1</v>
      </c>
      <c r="H148" s="134"/>
      <c r="N148" s="135" t="s">
        <v>3406</v>
      </c>
    </row>
    <row r="149" spans="1:14" x14ac:dyDescent="0.3">
      <c r="B149" s="134">
        <v>1</v>
      </c>
      <c r="D149" s="134"/>
      <c r="F149" s="134">
        <v>1</v>
      </c>
      <c r="H149" s="134"/>
      <c r="N149" s="135" t="s">
        <v>3414</v>
      </c>
    </row>
    <row r="150" spans="1:14" x14ac:dyDescent="0.3">
      <c r="B150" s="134">
        <v>1</v>
      </c>
      <c r="D150" s="134"/>
      <c r="F150" s="134">
        <v>1</v>
      </c>
      <c r="H150" s="134"/>
      <c r="N150" s="135" t="s">
        <v>3408</v>
      </c>
    </row>
    <row r="151" spans="1:14" x14ac:dyDescent="0.3">
      <c r="A151">
        <v>150</v>
      </c>
      <c r="B151" s="134">
        <v>1</v>
      </c>
      <c r="D151" s="134"/>
      <c r="F151" s="134">
        <v>1</v>
      </c>
      <c r="H151" s="134"/>
      <c r="N151" s="132" t="s">
        <v>275</v>
      </c>
    </row>
    <row r="152" spans="1:14" x14ac:dyDescent="0.3">
      <c r="B152" s="134">
        <v>1</v>
      </c>
      <c r="D152" s="134"/>
      <c r="F152" s="134">
        <v>1</v>
      </c>
      <c r="H152" s="134"/>
      <c r="N152" s="135" t="s">
        <v>3415</v>
      </c>
    </row>
    <row r="153" spans="1:14" x14ac:dyDescent="0.3">
      <c r="B153" s="134">
        <v>1</v>
      </c>
      <c r="D153" s="134"/>
      <c r="F153" s="134">
        <v>1</v>
      </c>
      <c r="H153" s="134"/>
      <c r="N153" s="135" t="s">
        <v>3416</v>
      </c>
    </row>
    <row r="154" spans="1:14" x14ac:dyDescent="0.3">
      <c r="B154" s="134">
        <v>1</v>
      </c>
      <c r="D154" s="134"/>
      <c r="F154" s="134">
        <v>1</v>
      </c>
      <c r="H154" s="134"/>
      <c r="N154" s="135" t="s">
        <v>3417</v>
      </c>
    </row>
    <row r="155" spans="1:14" x14ac:dyDescent="0.3">
      <c r="B155" s="134">
        <v>1</v>
      </c>
      <c r="D155" s="134"/>
      <c r="F155" s="134">
        <v>1</v>
      </c>
      <c r="H155" s="134"/>
      <c r="N155" s="135" t="s">
        <v>3418</v>
      </c>
    </row>
    <row r="156" spans="1:14" x14ac:dyDescent="0.3">
      <c r="A156">
        <v>155</v>
      </c>
      <c r="B156" s="134">
        <v>1</v>
      </c>
      <c r="D156" s="134"/>
      <c r="F156" s="134">
        <v>1</v>
      </c>
      <c r="H156" s="134"/>
      <c r="N156" s="135" t="s">
        <v>3419</v>
      </c>
    </row>
    <row r="157" spans="1:14" x14ac:dyDescent="0.3">
      <c r="B157" s="134">
        <v>1</v>
      </c>
      <c r="D157" s="134"/>
      <c r="F157" s="134">
        <v>1</v>
      </c>
      <c r="H157" s="134"/>
      <c r="N157" s="132" t="s">
        <v>3420</v>
      </c>
    </row>
    <row r="158" spans="1:14" x14ac:dyDescent="0.3">
      <c r="B158" s="134">
        <v>1</v>
      </c>
      <c r="D158" s="134"/>
      <c r="F158" s="134">
        <v>1</v>
      </c>
      <c r="H158" s="134"/>
      <c r="N158" s="135" t="s">
        <v>3421</v>
      </c>
    </row>
    <row r="159" spans="1:14" x14ac:dyDescent="0.3">
      <c r="B159" s="134">
        <v>1</v>
      </c>
      <c r="D159" s="134"/>
      <c r="F159" s="134">
        <v>1</v>
      </c>
      <c r="H159" s="134"/>
      <c r="N159" s="135" t="s">
        <v>3422</v>
      </c>
    </row>
    <row r="160" spans="1:14" x14ac:dyDescent="0.3">
      <c r="B160" s="134">
        <v>1</v>
      </c>
      <c r="D160" s="134"/>
      <c r="F160" s="134">
        <v>1</v>
      </c>
      <c r="H160" s="134"/>
      <c r="N160" s="132" t="s">
        <v>275</v>
      </c>
    </row>
    <row r="161" spans="1:14" ht="15.6" x14ac:dyDescent="0.3">
      <c r="A161">
        <v>160</v>
      </c>
      <c r="B161" s="134">
        <v>1</v>
      </c>
      <c r="D161" s="134"/>
      <c r="F161" s="134">
        <v>1</v>
      </c>
      <c r="H161" s="134"/>
      <c r="N161" s="138" t="s">
        <v>3423</v>
      </c>
    </row>
    <row r="162" spans="1:14" x14ac:dyDescent="0.3">
      <c r="B162" s="134">
        <v>1</v>
      </c>
      <c r="D162" s="134"/>
      <c r="F162" s="134">
        <v>1</v>
      </c>
      <c r="H162" s="134"/>
      <c r="N162" s="135" t="s">
        <v>3424</v>
      </c>
    </row>
    <row r="163" spans="1:14" x14ac:dyDescent="0.3">
      <c r="B163" s="134">
        <v>1</v>
      </c>
      <c r="D163" s="134"/>
      <c r="F163" s="134">
        <v>1</v>
      </c>
      <c r="H163" s="134"/>
      <c r="N163" s="135" t="s">
        <v>3406</v>
      </c>
    </row>
    <row r="164" spans="1:14" x14ac:dyDescent="0.3">
      <c r="B164" s="134">
        <v>1</v>
      </c>
      <c r="D164" s="134"/>
      <c r="F164" s="134">
        <v>1</v>
      </c>
      <c r="H164" s="134"/>
      <c r="N164" s="135" t="s">
        <v>3407</v>
      </c>
    </row>
    <row r="165" spans="1:14" x14ac:dyDescent="0.3">
      <c r="B165" s="134">
        <v>1</v>
      </c>
      <c r="D165" s="134"/>
      <c r="F165" s="134">
        <v>1</v>
      </c>
      <c r="H165" s="134"/>
      <c r="N165" s="135" t="s">
        <v>3425</v>
      </c>
    </row>
    <row r="166" spans="1:14" ht="15.6" x14ac:dyDescent="0.3">
      <c r="A166">
        <v>165</v>
      </c>
      <c r="B166" s="134">
        <v>1</v>
      </c>
      <c r="D166" s="134"/>
      <c r="F166" s="134">
        <v>1</v>
      </c>
      <c r="H166" s="134"/>
      <c r="N166" s="138" t="s">
        <v>273</v>
      </c>
    </row>
    <row r="167" spans="1:14" x14ac:dyDescent="0.3">
      <c r="B167" s="134">
        <v>1</v>
      </c>
      <c r="D167" s="134"/>
      <c r="F167" s="134">
        <v>1</v>
      </c>
      <c r="H167" s="134"/>
      <c r="N167" s="135" t="s">
        <v>3426</v>
      </c>
    </row>
    <row r="168" spans="1:14" x14ac:dyDescent="0.3">
      <c r="B168" s="134">
        <v>1</v>
      </c>
      <c r="D168" s="134"/>
      <c r="F168" s="134">
        <v>1</v>
      </c>
      <c r="H168" s="134"/>
      <c r="N168" s="135" t="s">
        <v>3406</v>
      </c>
    </row>
    <row r="169" spans="1:14" x14ac:dyDescent="0.3">
      <c r="B169" s="134">
        <v>1</v>
      </c>
      <c r="D169" s="134"/>
      <c r="F169" s="134">
        <v>1</v>
      </c>
      <c r="H169" s="134"/>
      <c r="N169" s="135" t="s">
        <v>3407</v>
      </c>
    </row>
    <row r="170" spans="1:14" x14ac:dyDescent="0.3">
      <c r="B170" s="134">
        <v>1</v>
      </c>
      <c r="D170" s="134"/>
      <c r="F170" s="140" t="s">
        <v>3110</v>
      </c>
      <c r="N170" s="135" t="s">
        <v>3408</v>
      </c>
    </row>
    <row r="171" spans="1:14" ht="15.6" x14ac:dyDescent="0.3">
      <c r="A171">
        <v>170</v>
      </c>
      <c r="B171" s="134">
        <v>1</v>
      </c>
      <c r="D171" s="134"/>
      <c r="N171" s="138" t="s">
        <v>274</v>
      </c>
    </row>
    <row r="172" spans="1:14" x14ac:dyDescent="0.3">
      <c r="B172" s="134">
        <v>1</v>
      </c>
      <c r="D172" s="134"/>
      <c r="N172" s="132" t="s">
        <v>275</v>
      </c>
    </row>
    <row r="173" spans="1:14" x14ac:dyDescent="0.3">
      <c r="B173" s="134">
        <v>1</v>
      </c>
      <c r="D173" s="134"/>
      <c r="N173" s="135" t="s">
        <v>3427</v>
      </c>
    </row>
    <row r="174" spans="1:14" x14ac:dyDescent="0.3">
      <c r="B174" s="134">
        <v>1</v>
      </c>
      <c r="D174" s="134"/>
      <c r="N174" s="135" t="s">
        <v>3428</v>
      </c>
    </row>
    <row r="175" spans="1:14" x14ac:dyDescent="0.3">
      <c r="B175" s="134">
        <v>1</v>
      </c>
      <c r="D175" s="134"/>
      <c r="N175" s="135" t="s">
        <v>3406</v>
      </c>
    </row>
    <row r="176" spans="1:14" x14ac:dyDescent="0.3">
      <c r="A176">
        <v>175</v>
      </c>
      <c r="B176" s="134">
        <v>1</v>
      </c>
      <c r="D176" s="134"/>
      <c r="N176" s="135" t="s">
        <v>3407</v>
      </c>
    </row>
    <row r="177" spans="1:14" x14ac:dyDescent="0.3">
      <c r="B177" s="134">
        <v>1</v>
      </c>
      <c r="D177" s="134"/>
      <c r="N177" s="135" t="s">
        <v>3429</v>
      </c>
    </row>
    <row r="178" spans="1:14" x14ac:dyDescent="0.3">
      <c r="B178" s="134">
        <v>1</v>
      </c>
      <c r="D178" s="134"/>
      <c r="N178" s="132" t="s">
        <v>3430</v>
      </c>
    </row>
    <row r="179" spans="1:14" x14ac:dyDescent="0.3">
      <c r="B179" s="134">
        <v>1</v>
      </c>
      <c r="D179" s="134"/>
      <c r="N179" s="132" t="s">
        <v>275</v>
      </c>
    </row>
    <row r="180" spans="1:14" x14ac:dyDescent="0.3">
      <c r="B180" s="134">
        <v>1</v>
      </c>
      <c r="D180" s="134"/>
      <c r="N180" s="135" t="s">
        <v>3431</v>
      </c>
    </row>
    <row r="181" spans="1:14" x14ac:dyDescent="0.3">
      <c r="A181">
        <v>180</v>
      </c>
      <c r="B181" s="134">
        <v>1</v>
      </c>
      <c r="D181" s="134"/>
      <c r="N181" s="135" t="s">
        <v>3432</v>
      </c>
    </row>
    <row r="182" spans="1:14" x14ac:dyDescent="0.3">
      <c r="B182" s="134">
        <v>1</v>
      </c>
      <c r="D182" s="134"/>
      <c r="N182" s="135" t="s">
        <v>3406</v>
      </c>
    </row>
    <row r="183" spans="1:14" x14ac:dyDescent="0.3">
      <c r="B183" s="134">
        <v>1</v>
      </c>
      <c r="D183" s="134"/>
      <c r="N183" s="135" t="s">
        <v>3407</v>
      </c>
    </row>
    <row r="184" spans="1:14" x14ac:dyDescent="0.3">
      <c r="B184" s="134">
        <v>1</v>
      </c>
      <c r="D184" s="134"/>
      <c r="N184" s="135" t="s">
        <v>3408</v>
      </c>
    </row>
    <row r="185" spans="1:14" x14ac:dyDescent="0.3">
      <c r="B185" s="134">
        <v>1</v>
      </c>
      <c r="D185" s="134"/>
      <c r="N185" s="132" t="s">
        <v>275</v>
      </c>
    </row>
    <row r="186" spans="1:14" x14ac:dyDescent="0.3">
      <c r="A186">
        <v>185</v>
      </c>
      <c r="B186" s="134">
        <v>1</v>
      </c>
      <c r="D186" s="134"/>
      <c r="N186" s="135" t="s">
        <v>3433</v>
      </c>
    </row>
    <row r="187" spans="1:14" x14ac:dyDescent="0.3">
      <c r="B187" s="134">
        <v>1</v>
      </c>
      <c r="D187" s="134"/>
      <c r="N187" s="135" t="s">
        <v>3434</v>
      </c>
    </row>
    <row r="188" spans="1:14" x14ac:dyDescent="0.3">
      <c r="B188" s="134">
        <v>1</v>
      </c>
      <c r="D188" s="134"/>
      <c r="N188" s="135" t="s">
        <v>3406</v>
      </c>
    </row>
    <row r="189" spans="1:14" ht="30.6" x14ac:dyDescent="0.3">
      <c r="B189" s="134">
        <v>1</v>
      </c>
      <c r="D189" s="134"/>
      <c r="N189" s="138" t="s">
        <v>3435</v>
      </c>
    </row>
    <row r="190" spans="1:14" x14ac:dyDescent="0.3">
      <c r="B190" s="134">
        <v>1</v>
      </c>
      <c r="D190" s="134"/>
      <c r="N190" s="132" t="s">
        <v>267</v>
      </c>
    </row>
    <row r="191" spans="1:14" x14ac:dyDescent="0.3">
      <c r="A191">
        <v>190</v>
      </c>
      <c r="B191" s="134">
        <v>1</v>
      </c>
      <c r="D191" s="134"/>
      <c r="N191" s="135" t="s">
        <v>3436</v>
      </c>
    </row>
    <row r="192" spans="1:14" x14ac:dyDescent="0.3">
      <c r="B192" s="134">
        <v>1</v>
      </c>
      <c r="D192" s="134"/>
      <c r="N192" s="135" t="s">
        <v>3437</v>
      </c>
    </row>
    <row r="193" spans="1:14" x14ac:dyDescent="0.3">
      <c r="B193" s="134">
        <v>1</v>
      </c>
      <c r="D193" s="134"/>
      <c r="N193" s="135" t="s">
        <v>3406</v>
      </c>
    </row>
    <row r="194" spans="1:14" ht="30.6" x14ac:dyDescent="0.3">
      <c r="B194" s="134">
        <v>1</v>
      </c>
      <c r="D194" s="134"/>
      <c r="N194" s="138" t="s">
        <v>3435</v>
      </c>
    </row>
    <row r="195" spans="1:14" x14ac:dyDescent="0.3">
      <c r="B195" s="134">
        <v>1</v>
      </c>
      <c r="D195" s="134"/>
      <c r="N195" s="132" t="s">
        <v>275</v>
      </c>
    </row>
    <row r="196" spans="1:14" x14ac:dyDescent="0.3">
      <c r="A196">
        <v>195</v>
      </c>
      <c r="B196" s="134">
        <v>1</v>
      </c>
      <c r="D196" s="134"/>
      <c r="N196" s="135" t="s">
        <v>3438</v>
      </c>
    </row>
    <row r="197" spans="1:14" x14ac:dyDescent="0.3">
      <c r="B197" s="134">
        <v>1</v>
      </c>
      <c r="D197" s="134"/>
      <c r="N197" s="135" t="s">
        <v>3439</v>
      </c>
    </row>
    <row r="198" spans="1:14" x14ac:dyDescent="0.3">
      <c r="B198" s="134">
        <v>1</v>
      </c>
      <c r="D198" s="134"/>
      <c r="N198" s="135" t="s">
        <v>3406</v>
      </c>
    </row>
    <row r="199" spans="1:14" x14ac:dyDescent="0.3">
      <c r="B199" s="134">
        <v>1</v>
      </c>
      <c r="D199" s="134"/>
      <c r="N199" s="135" t="s">
        <v>3407</v>
      </c>
    </row>
    <row r="200" spans="1:14" x14ac:dyDescent="0.3">
      <c r="B200" s="134">
        <v>1</v>
      </c>
      <c r="D200" s="134"/>
      <c r="N200" s="135" t="s">
        <v>3408</v>
      </c>
    </row>
    <row r="201" spans="1:14" x14ac:dyDescent="0.3">
      <c r="A201">
        <v>200</v>
      </c>
      <c r="B201" s="134">
        <v>1</v>
      </c>
      <c r="D201" s="134"/>
      <c r="N201" s="132" t="s">
        <v>267</v>
      </c>
    </row>
    <row r="202" spans="1:14" x14ac:dyDescent="0.3">
      <c r="B202" s="134">
        <v>1</v>
      </c>
      <c r="D202" s="134"/>
      <c r="N202" s="135" t="s">
        <v>3440</v>
      </c>
    </row>
    <row r="203" spans="1:14" x14ac:dyDescent="0.3">
      <c r="B203" s="134">
        <v>1</v>
      </c>
      <c r="D203" s="134"/>
      <c r="N203" s="135" t="s">
        <v>3441</v>
      </c>
    </row>
    <row r="204" spans="1:14" x14ac:dyDescent="0.3">
      <c r="B204" s="134">
        <v>1</v>
      </c>
      <c r="D204" s="134"/>
      <c r="N204" s="135" t="s">
        <v>3406</v>
      </c>
    </row>
    <row r="205" spans="1:14" x14ac:dyDescent="0.3">
      <c r="B205" s="134">
        <v>1</v>
      </c>
      <c r="D205" s="134"/>
      <c r="N205" s="135" t="s">
        <v>3407</v>
      </c>
    </row>
    <row r="206" spans="1:14" x14ac:dyDescent="0.3">
      <c r="A206">
        <v>205</v>
      </c>
      <c r="B206" s="134">
        <v>1</v>
      </c>
      <c r="D206" s="134"/>
      <c r="N206" s="135" t="s">
        <v>3408</v>
      </c>
    </row>
    <row r="207" spans="1:14" x14ac:dyDescent="0.3">
      <c r="B207" s="134">
        <v>1</v>
      </c>
      <c r="D207" s="134"/>
      <c r="N207" s="132" t="s">
        <v>267</v>
      </c>
    </row>
    <row r="208" spans="1:14" x14ac:dyDescent="0.3">
      <c r="B208" s="134">
        <v>1</v>
      </c>
      <c r="D208" s="134"/>
      <c r="N208" s="135" t="s">
        <v>3442</v>
      </c>
    </row>
    <row r="209" spans="1:14" x14ac:dyDescent="0.3">
      <c r="B209" s="134">
        <v>1</v>
      </c>
      <c r="D209" s="134"/>
      <c r="N209" s="135" t="s">
        <v>3443</v>
      </c>
    </row>
    <row r="210" spans="1:14" x14ac:dyDescent="0.3">
      <c r="B210" s="134">
        <v>1</v>
      </c>
      <c r="D210" s="134"/>
      <c r="N210" s="135" t="s">
        <v>3406</v>
      </c>
    </row>
    <row r="211" spans="1:14" x14ac:dyDescent="0.3">
      <c r="A211">
        <v>210</v>
      </c>
      <c r="B211" s="134">
        <v>1</v>
      </c>
      <c r="D211" s="134"/>
      <c r="N211" s="135" t="s">
        <v>3444</v>
      </c>
    </row>
    <row r="212" spans="1:14" x14ac:dyDescent="0.3">
      <c r="B212" s="134">
        <v>1</v>
      </c>
      <c r="D212" s="134"/>
      <c r="N212" s="135" t="s">
        <v>3408</v>
      </c>
    </row>
    <row r="213" spans="1:14" x14ac:dyDescent="0.3">
      <c r="B213" s="134">
        <v>1</v>
      </c>
      <c r="D213" s="134"/>
      <c r="N213" s="132" t="s">
        <v>275</v>
      </c>
    </row>
    <row r="214" spans="1:14" x14ac:dyDescent="0.3">
      <c r="B214" s="134">
        <v>1</v>
      </c>
      <c r="D214" s="134"/>
      <c r="N214" s="135" t="s">
        <v>3445</v>
      </c>
    </row>
    <row r="215" spans="1:14" x14ac:dyDescent="0.3">
      <c r="B215" s="134">
        <v>1</v>
      </c>
      <c r="D215" s="134"/>
      <c r="N215" s="135" t="s">
        <v>3446</v>
      </c>
    </row>
    <row r="216" spans="1:14" x14ac:dyDescent="0.3">
      <c r="A216">
        <v>215</v>
      </c>
      <c r="B216" s="134">
        <v>1</v>
      </c>
      <c r="D216" s="134"/>
      <c r="N216" s="135" t="s">
        <v>3406</v>
      </c>
    </row>
    <row r="217" spans="1:14" x14ac:dyDescent="0.3">
      <c r="B217" s="134">
        <v>1</v>
      </c>
      <c r="D217" s="134"/>
      <c r="N217" s="135" t="s">
        <v>3407</v>
      </c>
    </row>
    <row r="218" spans="1:14" x14ac:dyDescent="0.3">
      <c r="B218" s="134">
        <v>1</v>
      </c>
      <c r="D218" s="134"/>
      <c r="N218" s="135" t="s">
        <v>3408</v>
      </c>
    </row>
    <row r="219" spans="1:14" x14ac:dyDescent="0.3">
      <c r="B219" s="134">
        <v>1</v>
      </c>
      <c r="D219" s="134"/>
      <c r="N219" s="132" t="s">
        <v>275</v>
      </c>
    </row>
    <row r="220" spans="1:14" x14ac:dyDescent="0.3">
      <c r="B220" s="134">
        <v>1</v>
      </c>
      <c r="D220" s="134"/>
      <c r="N220" s="135" t="s">
        <v>3447</v>
      </c>
    </row>
    <row r="221" spans="1:14" x14ac:dyDescent="0.3">
      <c r="A221">
        <v>220</v>
      </c>
      <c r="B221" s="134">
        <v>1</v>
      </c>
      <c r="D221" s="134"/>
      <c r="N221" s="135" t="s">
        <v>3448</v>
      </c>
    </row>
    <row r="222" spans="1:14" x14ac:dyDescent="0.3">
      <c r="B222" s="134">
        <v>1</v>
      </c>
      <c r="D222" s="134"/>
      <c r="N222" s="135" t="s">
        <v>3406</v>
      </c>
    </row>
    <row r="223" spans="1:14" x14ac:dyDescent="0.3">
      <c r="B223" s="134">
        <v>1</v>
      </c>
      <c r="D223" s="134"/>
      <c r="N223" s="135" t="s">
        <v>3407</v>
      </c>
    </row>
    <row r="224" spans="1:14" x14ac:dyDescent="0.3">
      <c r="B224" s="134">
        <v>1</v>
      </c>
      <c r="D224" s="134"/>
      <c r="N224" s="135" t="s">
        <v>3408</v>
      </c>
    </row>
    <row r="225" spans="1:14" x14ac:dyDescent="0.3">
      <c r="B225" s="134">
        <v>1</v>
      </c>
      <c r="D225" s="134"/>
      <c r="N225" s="132" t="s">
        <v>267</v>
      </c>
    </row>
    <row r="226" spans="1:14" x14ac:dyDescent="0.3">
      <c r="A226">
        <v>225</v>
      </c>
      <c r="B226" s="134">
        <v>1</v>
      </c>
      <c r="D226" s="134"/>
      <c r="N226" s="135" t="s">
        <v>3449</v>
      </c>
    </row>
    <row r="227" spans="1:14" x14ac:dyDescent="0.3">
      <c r="B227" s="134">
        <v>1</v>
      </c>
      <c r="D227" s="134"/>
      <c r="N227" s="135" t="s">
        <v>3450</v>
      </c>
    </row>
    <row r="228" spans="1:14" x14ac:dyDescent="0.3">
      <c r="B228" s="134">
        <v>1</v>
      </c>
      <c r="D228" s="134"/>
      <c r="F228" s="139" t="s">
        <v>3107</v>
      </c>
      <c r="H228" s="134"/>
      <c r="N228" s="135" t="s">
        <v>3406</v>
      </c>
    </row>
    <row r="229" spans="1:14" ht="15.6" x14ac:dyDescent="0.3">
      <c r="B229" s="134">
        <v>1</v>
      </c>
      <c r="D229" s="134"/>
      <c r="F229" s="134">
        <v>1</v>
      </c>
      <c r="H229" s="134"/>
      <c r="N229" s="138" t="s">
        <v>3451</v>
      </c>
    </row>
    <row r="230" spans="1:14" x14ac:dyDescent="0.3">
      <c r="B230" s="134">
        <v>1</v>
      </c>
      <c r="D230" s="134"/>
      <c r="F230" s="134">
        <v>1</v>
      </c>
      <c r="H230" s="134"/>
      <c r="N230" s="135" t="s">
        <v>3407</v>
      </c>
    </row>
    <row r="231" spans="1:14" x14ac:dyDescent="0.3">
      <c r="A231">
        <v>230</v>
      </c>
      <c r="B231" s="134">
        <v>1</v>
      </c>
      <c r="D231" s="134"/>
      <c r="F231" s="134">
        <v>1</v>
      </c>
      <c r="H231" s="134"/>
      <c r="N231" s="135" t="s">
        <v>3408</v>
      </c>
    </row>
    <row r="232" spans="1:14" ht="15.6" x14ac:dyDescent="0.3">
      <c r="B232" s="134">
        <v>1</v>
      </c>
      <c r="D232" s="134"/>
      <c r="F232" s="140" t="s">
        <v>3110</v>
      </c>
      <c r="N232" s="138" t="s">
        <v>273</v>
      </c>
    </row>
    <row r="233" spans="1:14" ht="15.6" x14ac:dyDescent="0.3">
      <c r="B233" s="134">
        <v>1</v>
      </c>
      <c r="D233" s="134"/>
      <c r="N233" s="138" t="s">
        <v>274</v>
      </c>
    </row>
    <row r="234" spans="1:14" x14ac:dyDescent="0.3">
      <c r="B234" s="134">
        <v>1</v>
      </c>
      <c r="D234" s="134"/>
      <c r="N234" s="132" t="s">
        <v>275</v>
      </c>
    </row>
    <row r="235" spans="1:14" x14ac:dyDescent="0.3">
      <c r="B235" s="134">
        <v>1</v>
      </c>
      <c r="D235" s="134"/>
      <c r="N235" s="132" t="s">
        <v>2383</v>
      </c>
    </row>
    <row r="236" spans="1:14" ht="15.6" x14ac:dyDescent="0.3">
      <c r="A236">
        <v>235</v>
      </c>
      <c r="B236" s="134">
        <v>1</v>
      </c>
      <c r="D236" s="134"/>
      <c r="N236" s="138" t="s">
        <v>3452</v>
      </c>
    </row>
    <row r="237" spans="1:14" x14ac:dyDescent="0.3">
      <c r="B237" s="134">
        <v>1</v>
      </c>
      <c r="D237" s="134"/>
      <c r="N237" s="132" t="s">
        <v>2383</v>
      </c>
    </row>
    <row r="238" spans="1:14" ht="15.6" x14ac:dyDescent="0.3">
      <c r="B238" s="134">
        <v>1</v>
      </c>
      <c r="D238" s="134"/>
      <c r="N238" s="138" t="s">
        <v>2381</v>
      </c>
    </row>
    <row r="239" spans="1:14" x14ac:dyDescent="0.3">
      <c r="B239" s="134">
        <v>1</v>
      </c>
      <c r="D239" s="134"/>
      <c r="N239" s="135" t="s">
        <v>3453</v>
      </c>
    </row>
    <row r="240" spans="1:14" x14ac:dyDescent="0.3">
      <c r="B240" s="134">
        <v>1</v>
      </c>
      <c r="D240" s="134"/>
      <c r="N240" s="135" t="s">
        <v>3454</v>
      </c>
    </row>
    <row r="241" spans="1:14" x14ac:dyDescent="0.3">
      <c r="A241">
        <v>240</v>
      </c>
      <c r="B241" s="134">
        <v>1</v>
      </c>
      <c r="D241" s="134"/>
      <c r="F241" s="140" t="s">
        <v>3110</v>
      </c>
      <c r="N241" s="132" t="s">
        <v>312</v>
      </c>
    </row>
    <row r="242" spans="1:14" ht="15.6" x14ac:dyDescent="0.3">
      <c r="B242" s="134">
        <v>1</v>
      </c>
      <c r="D242" s="134"/>
      <c r="N242" s="138" t="s">
        <v>2382</v>
      </c>
    </row>
    <row r="243" spans="1:14" ht="27" x14ac:dyDescent="0.3">
      <c r="B243" s="140" t="s">
        <v>3110</v>
      </c>
      <c r="D243" s="134"/>
      <c r="N243" s="136" t="s">
        <v>3455</v>
      </c>
    </row>
    <row r="244" spans="1:14" ht="15.6" x14ac:dyDescent="0.3">
      <c r="B244" s="134"/>
      <c r="D244" s="134"/>
      <c r="N244" s="138" t="s">
        <v>2329</v>
      </c>
    </row>
    <row r="245" spans="1:14" x14ac:dyDescent="0.3">
      <c r="B245" s="134"/>
      <c r="D245" s="134"/>
      <c r="N245" s="132" t="s">
        <v>266</v>
      </c>
    </row>
    <row r="246" spans="1:14" x14ac:dyDescent="0.3">
      <c r="A246">
        <v>245</v>
      </c>
      <c r="B246" s="134"/>
      <c r="D246" s="134"/>
      <c r="N246" s="135" t="s">
        <v>3740</v>
      </c>
    </row>
    <row r="247" spans="1:14" x14ac:dyDescent="0.3">
      <c r="B247" s="134"/>
      <c r="D247" s="134"/>
      <c r="N247" s="132" t="s">
        <v>266</v>
      </c>
    </row>
    <row r="248" spans="1:14" x14ac:dyDescent="0.3">
      <c r="B248" s="134"/>
      <c r="D248" s="134"/>
      <c r="F248" t="s">
        <v>3107</v>
      </c>
      <c r="N248" s="132" t="s">
        <v>266</v>
      </c>
    </row>
    <row r="249" spans="1:14" ht="16.8" x14ac:dyDescent="0.3">
      <c r="B249" s="134"/>
      <c r="D249" s="134"/>
      <c r="N249" s="141" t="s">
        <v>316</v>
      </c>
    </row>
    <row r="250" spans="1:14" x14ac:dyDescent="0.3">
      <c r="B250" s="134"/>
      <c r="D250" s="134"/>
      <c r="N250" s="132" t="s">
        <v>266</v>
      </c>
    </row>
    <row r="251" spans="1:14" ht="15.6" x14ac:dyDescent="0.3">
      <c r="A251">
        <v>250</v>
      </c>
      <c r="B251" s="134"/>
      <c r="D251" s="134"/>
      <c r="N251" s="142" t="s">
        <v>3456</v>
      </c>
    </row>
    <row r="252" spans="1:14" x14ac:dyDescent="0.3">
      <c r="B252" s="134"/>
      <c r="D252" s="134"/>
      <c r="N252" s="135" t="s">
        <v>3457</v>
      </c>
    </row>
    <row r="253" spans="1:14" x14ac:dyDescent="0.3">
      <c r="B253" s="134"/>
      <c r="D253" s="134"/>
      <c r="N253" s="135" t="s">
        <v>3458</v>
      </c>
    </row>
    <row r="254" spans="1:14" x14ac:dyDescent="0.3">
      <c r="B254" s="134"/>
      <c r="D254" s="134"/>
      <c r="N254" s="135" t="s">
        <v>3459</v>
      </c>
    </row>
    <row r="255" spans="1:14" x14ac:dyDescent="0.3">
      <c r="B255" s="134"/>
      <c r="D255" s="134"/>
      <c r="N255" s="132" t="s">
        <v>267</v>
      </c>
    </row>
    <row r="256" spans="1:14" x14ac:dyDescent="0.3">
      <c r="A256">
        <v>255</v>
      </c>
      <c r="B256" s="134"/>
      <c r="D256" s="134"/>
      <c r="N256" s="135" t="s">
        <v>3460</v>
      </c>
    </row>
    <row r="257" spans="1:14" x14ac:dyDescent="0.3">
      <c r="B257" s="134"/>
      <c r="D257" s="134"/>
      <c r="N257" s="135" t="s">
        <v>3461</v>
      </c>
    </row>
    <row r="258" spans="1:14" x14ac:dyDescent="0.3">
      <c r="B258" s="139" t="s">
        <v>3107</v>
      </c>
      <c r="D258" s="134"/>
      <c r="N258" s="132" t="s">
        <v>267</v>
      </c>
    </row>
    <row r="259" spans="1:14" ht="15.6" x14ac:dyDescent="0.3">
      <c r="B259" s="134">
        <v>1</v>
      </c>
      <c r="D259" s="134"/>
      <c r="F259" s="139" t="s">
        <v>3107</v>
      </c>
      <c r="H259" s="134"/>
      <c r="N259" s="138" t="s">
        <v>3462</v>
      </c>
    </row>
    <row r="260" spans="1:14" ht="15.6" x14ac:dyDescent="0.3">
      <c r="B260" s="134">
        <v>1</v>
      </c>
      <c r="D260" s="134"/>
      <c r="F260" s="134">
        <v>1</v>
      </c>
      <c r="H260" s="134"/>
      <c r="N260" s="138" t="s">
        <v>3463</v>
      </c>
    </row>
    <row r="261" spans="1:14" x14ac:dyDescent="0.3">
      <c r="A261">
        <v>260</v>
      </c>
      <c r="B261" s="134">
        <v>1</v>
      </c>
      <c r="D261" s="134"/>
      <c r="F261" s="134">
        <v>1</v>
      </c>
      <c r="H261" s="134"/>
      <c r="N261" s="135" t="s">
        <v>3464</v>
      </c>
    </row>
    <row r="262" spans="1:14" ht="15.6" x14ac:dyDescent="0.3">
      <c r="B262" s="134">
        <v>1</v>
      </c>
      <c r="D262" s="134"/>
      <c r="F262" s="134">
        <v>1</v>
      </c>
      <c r="H262" s="134"/>
      <c r="N262" s="138" t="s">
        <v>2389</v>
      </c>
    </row>
    <row r="263" spans="1:14" x14ac:dyDescent="0.3">
      <c r="B263" s="134">
        <v>1</v>
      </c>
      <c r="D263" s="134"/>
      <c r="F263" s="140" t="s">
        <v>3110</v>
      </c>
      <c r="N263" s="135" t="s">
        <v>3465</v>
      </c>
    </row>
    <row r="264" spans="1:14" ht="15.6" x14ac:dyDescent="0.3">
      <c r="B264" s="134">
        <v>1</v>
      </c>
      <c r="D264" s="134"/>
      <c r="N264" s="138" t="s">
        <v>317</v>
      </c>
    </row>
    <row r="265" spans="1:14" x14ac:dyDescent="0.3">
      <c r="B265" s="140" t="s">
        <v>3110</v>
      </c>
      <c r="D265" s="134"/>
      <c r="N265" s="132" t="s">
        <v>269</v>
      </c>
    </row>
    <row r="266" spans="1:14" ht="15.6" x14ac:dyDescent="0.3">
      <c r="A266">
        <v>265</v>
      </c>
      <c r="B266" s="134"/>
      <c r="D266" s="134"/>
      <c r="N266" s="138" t="s">
        <v>3466</v>
      </c>
    </row>
    <row r="267" spans="1:14" x14ac:dyDescent="0.3">
      <c r="B267" s="134"/>
      <c r="D267" s="134"/>
      <c r="N267" s="132" t="s">
        <v>267</v>
      </c>
    </row>
    <row r="268" spans="1:14" x14ac:dyDescent="0.3">
      <c r="B268" s="134"/>
      <c r="D268" s="134"/>
      <c r="N268" s="135" t="s">
        <v>3467</v>
      </c>
    </row>
    <row r="269" spans="1:14" x14ac:dyDescent="0.3">
      <c r="B269" s="134"/>
      <c r="D269" s="134"/>
    </row>
    <row r="270" spans="1:14" ht="16.8" x14ac:dyDescent="0.3">
      <c r="B270" s="134"/>
      <c r="D270" s="134"/>
      <c r="N270" s="143" t="s">
        <v>3468</v>
      </c>
    </row>
    <row r="271" spans="1:14" x14ac:dyDescent="0.3">
      <c r="A271">
        <v>270</v>
      </c>
      <c r="B271" s="134"/>
      <c r="D271" s="134"/>
      <c r="N271" s="132" t="s">
        <v>267</v>
      </c>
    </row>
    <row r="272" spans="1:14" x14ac:dyDescent="0.3">
      <c r="B272" s="134"/>
      <c r="D272" s="134"/>
      <c r="N272" s="132" t="s">
        <v>267</v>
      </c>
    </row>
    <row r="273" spans="1:14" ht="30.6" x14ac:dyDescent="0.3">
      <c r="B273" s="134"/>
      <c r="D273" s="134"/>
      <c r="N273" s="142" t="s">
        <v>3469</v>
      </c>
    </row>
    <row r="274" spans="1:14" x14ac:dyDescent="0.3">
      <c r="B274" s="134"/>
      <c r="D274" s="134"/>
      <c r="N274" s="132" t="s">
        <v>3420</v>
      </c>
    </row>
    <row r="275" spans="1:14" x14ac:dyDescent="0.3">
      <c r="B275" s="134"/>
      <c r="D275" s="134"/>
      <c r="N275" s="136" t="s">
        <v>3470</v>
      </c>
    </row>
    <row r="276" spans="1:14" x14ac:dyDescent="0.3">
      <c r="A276">
        <v>275</v>
      </c>
      <c r="B276" s="134"/>
      <c r="D276" s="134"/>
      <c r="N276" s="136" t="s">
        <v>3471</v>
      </c>
    </row>
    <row r="277" spans="1:14" x14ac:dyDescent="0.3">
      <c r="B277" s="134"/>
      <c r="D277" s="134"/>
      <c r="N277" s="136" t="s">
        <v>3472</v>
      </c>
    </row>
    <row r="278" spans="1:14" x14ac:dyDescent="0.3">
      <c r="B278" s="134"/>
      <c r="D278" s="134"/>
      <c r="N278" s="136" t="s">
        <v>3473</v>
      </c>
    </row>
    <row r="279" spans="1:14" x14ac:dyDescent="0.3">
      <c r="B279" s="134"/>
      <c r="D279" s="134"/>
      <c r="N279" s="132" t="s">
        <v>3420</v>
      </c>
    </row>
    <row r="280" spans="1:14" x14ac:dyDescent="0.3">
      <c r="B280" s="134"/>
      <c r="D280" s="134"/>
      <c r="N280" s="132" t="s">
        <v>3420</v>
      </c>
    </row>
    <row r="281" spans="1:14" x14ac:dyDescent="0.3">
      <c r="A281">
        <v>280</v>
      </c>
      <c r="B281" s="134"/>
      <c r="D281" s="134"/>
      <c r="N281" s="135" t="s">
        <v>3474</v>
      </c>
    </row>
    <row r="282" spans="1:14" x14ac:dyDescent="0.3">
      <c r="B282" s="134"/>
      <c r="D282" s="134"/>
      <c r="N282" s="132" t="s">
        <v>3420</v>
      </c>
    </row>
    <row r="283" spans="1:14" x14ac:dyDescent="0.3">
      <c r="B283" s="134"/>
      <c r="D283" s="134"/>
      <c r="N283" s="135" t="s">
        <v>3475</v>
      </c>
    </row>
    <row r="284" spans="1:14" x14ac:dyDescent="0.3">
      <c r="B284" s="134"/>
      <c r="D284" s="134"/>
      <c r="N284" s="132" t="s">
        <v>3420</v>
      </c>
    </row>
    <row r="285" spans="1:14" x14ac:dyDescent="0.3">
      <c r="B285" s="134"/>
      <c r="D285" s="134"/>
      <c r="F285" s="139" t="s">
        <v>3107</v>
      </c>
      <c r="H285" s="134"/>
      <c r="N285" s="135" t="s">
        <v>3476</v>
      </c>
    </row>
    <row r="286" spans="1:14" ht="15.6" x14ac:dyDescent="0.3">
      <c r="A286">
        <v>285</v>
      </c>
      <c r="B286" s="134"/>
      <c r="D286" s="134"/>
      <c r="F286" s="134">
        <v>1</v>
      </c>
      <c r="H286" s="134"/>
      <c r="N286" s="138" t="s">
        <v>3477</v>
      </c>
    </row>
    <row r="287" spans="1:14" x14ac:dyDescent="0.3">
      <c r="B287" s="134"/>
      <c r="D287" s="134"/>
      <c r="F287" s="134">
        <v>1</v>
      </c>
      <c r="H287" s="134"/>
      <c r="N287" s="135" t="s">
        <v>3478</v>
      </c>
    </row>
    <row r="288" spans="1:14" x14ac:dyDescent="0.3">
      <c r="B288" s="134"/>
      <c r="D288" s="134"/>
      <c r="F288" s="134">
        <v>1</v>
      </c>
      <c r="H288" s="134"/>
      <c r="N288" s="135" t="s">
        <v>3479</v>
      </c>
    </row>
    <row r="289" spans="1:14" x14ac:dyDescent="0.3">
      <c r="B289" s="134"/>
      <c r="D289" s="134"/>
      <c r="F289" s="134">
        <v>1</v>
      </c>
      <c r="H289" s="134"/>
      <c r="N289" s="135" t="s">
        <v>3480</v>
      </c>
    </row>
    <row r="290" spans="1:14" ht="15.6" x14ac:dyDescent="0.3">
      <c r="B290" s="134"/>
      <c r="D290" s="134"/>
      <c r="H290" s="139" t="s">
        <v>3107</v>
      </c>
      <c r="J290" s="140"/>
      <c r="N290" s="138" t="s">
        <v>2387</v>
      </c>
    </row>
    <row r="291" spans="1:14" ht="15.6" x14ac:dyDescent="0.3">
      <c r="A291">
        <v>290</v>
      </c>
      <c r="B291" s="134"/>
      <c r="D291" s="134"/>
      <c r="H291" s="140">
        <v>2</v>
      </c>
      <c r="J291" s="140"/>
      <c r="N291" s="138" t="s">
        <v>3481</v>
      </c>
    </row>
    <row r="292" spans="1:14" x14ac:dyDescent="0.3">
      <c r="B292" s="134"/>
      <c r="D292" s="134"/>
      <c r="H292" s="140">
        <v>2</v>
      </c>
      <c r="J292" s="140"/>
      <c r="N292" s="135" t="s">
        <v>3482</v>
      </c>
    </row>
    <row r="293" spans="1:14" x14ac:dyDescent="0.3">
      <c r="B293" s="134"/>
      <c r="D293" s="134"/>
      <c r="H293" s="140">
        <v>2</v>
      </c>
      <c r="J293" s="140"/>
      <c r="N293" s="135" t="s">
        <v>3483</v>
      </c>
    </row>
    <row r="294" spans="1:14" x14ac:dyDescent="0.3">
      <c r="B294" s="134"/>
      <c r="D294" s="134"/>
      <c r="H294" s="140">
        <v>2</v>
      </c>
      <c r="J294" s="140"/>
      <c r="N294" s="135" t="s">
        <v>3484</v>
      </c>
    </row>
    <row r="295" spans="1:14" ht="15.6" x14ac:dyDescent="0.3">
      <c r="B295" s="134"/>
      <c r="D295" s="134"/>
      <c r="F295" s="134">
        <v>1</v>
      </c>
      <c r="H295" s="140" t="s">
        <v>3110</v>
      </c>
      <c r="N295" s="138" t="s">
        <v>2389</v>
      </c>
    </row>
    <row r="296" spans="1:14" ht="15.6" x14ac:dyDescent="0.3">
      <c r="A296">
        <v>295</v>
      </c>
      <c r="B296" s="134"/>
      <c r="D296" s="134"/>
      <c r="F296" s="140" t="s">
        <v>3110</v>
      </c>
      <c r="N296" s="138" t="s">
        <v>317</v>
      </c>
    </row>
    <row r="297" spans="1:14" ht="15.6" x14ac:dyDescent="0.3">
      <c r="B297" s="134"/>
      <c r="D297" s="134"/>
      <c r="N297" s="138" t="s">
        <v>318</v>
      </c>
    </row>
    <row r="298" spans="1:14" x14ac:dyDescent="0.3">
      <c r="B298" s="134"/>
      <c r="D298" s="134"/>
      <c r="N298" s="132" t="s">
        <v>267</v>
      </c>
    </row>
    <row r="299" spans="1:14" x14ac:dyDescent="0.3">
      <c r="B299" s="134"/>
      <c r="D299" s="134"/>
      <c r="N299" s="132" t="s">
        <v>266</v>
      </c>
    </row>
    <row r="300" spans="1:14" ht="16.8" x14ac:dyDescent="0.3">
      <c r="B300" s="134"/>
      <c r="D300" s="134"/>
      <c r="N300" s="143" t="s">
        <v>2467</v>
      </c>
    </row>
    <row r="301" spans="1:14" x14ac:dyDescent="0.3">
      <c r="A301">
        <v>300</v>
      </c>
      <c r="B301" s="134"/>
      <c r="D301" s="134"/>
      <c r="N301" s="132" t="s">
        <v>266</v>
      </c>
    </row>
    <row r="302" spans="1:14" x14ac:dyDescent="0.3">
      <c r="B302" s="134"/>
      <c r="D302" s="134"/>
      <c r="N302" s="132" t="s">
        <v>266</v>
      </c>
    </row>
    <row r="303" spans="1:14" ht="15.6" x14ac:dyDescent="0.3">
      <c r="B303" s="134"/>
      <c r="D303" s="134"/>
      <c r="N303" s="137" t="s">
        <v>3485</v>
      </c>
    </row>
    <row r="304" spans="1:14" x14ac:dyDescent="0.3">
      <c r="B304" s="134"/>
      <c r="D304" s="134"/>
      <c r="N304" s="132" t="s">
        <v>266</v>
      </c>
    </row>
    <row r="305" spans="1:14" x14ac:dyDescent="0.3">
      <c r="B305" s="134"/>
      <c r="D305" s="134"/>
      <c r="N305" s="136" t="s">
        <v>3486</v>
      </c>
    </row>
    <row r="306" spans="1:14" x14ac:dyDescent="0.3">
      <c r="A306">
        <v>305</v>
      </c>
      <c r="B306" s="134"/>
      <c r="D306" s="134"/>
      <c r="N306" s="136" t="s">
        <v>3487</v>
      </c>
    </row>
    <row r="307" spans="1:14" x14ac:dyDescent="0.3">
      <c r="B307" s="134"/>
      <c r="D307" s="134"/>
      <c r="N307" s="136" t="s">
        <v>3488</v>
      </c>
    </row>
    <row r="308" spans="1:14" x14ac:dyDescent="0.3">
      <c r="B308" s="134"/>
      <c r="D308" s="134"/>
      <c r="N308" s="136" t="s">
        <v>3324</v>
      </c>
    </row>
    <row r="309" spans="1:14" x14ac:dyDescent="0.3">
      <c r="B309" s="134"/>
      <c r="D309" s="134"/>
      <c r="N309" s="136" t="s">
        <v>3486</v>
      </c>
    </row>
    <row r="310" spans="1:14" x14ac:dyDescent="0.3">
      <c r="B310" s="134"/>
      <c r="D310" s="134"/>
      <c r="N310" s="132" t="s">
        <v>266</v>
      </c>
    </row>
    <row r="311" spans="1:14" x14ac:dyDescent="0.3">
      <c r="A311">
        <v>310</v>
      </c>
      <c r="B311" s="134"/>
      <c r="D311" s="134"/>
      <c r="N311" s="135" t="s">
        <v>3489</v>
      </c>
    </row>
    <row r="312" spans="1:14" x14ac:dyDescent="0.3">
      <c r="B312" s="134"/>
      <c r="D312" s="134"/>
      <c r="N312" s="135" t="s">
        <v>3335</v>
      </c>
    </row>
    <row r="313" spans="1:14" x14ac:dyDescent="0.3">
      <c r="B313" s="134"/>
      <c r="D313" s="134"/>
      <c r="N313" s="135" t="s">
        <v>313</v>
      </c>
    </row>
    <row r="314" spans="1:14" x14ac:dyDescent="0.3">
      <c r="B314" s="134"/>
      <c r="D314" s="134"/>
      <c r="N314" s="135" t="s">
        <v>3341</v>
      </c>
    </row>
    <row r="315" spans="1:14" x14ac:dyDescent="0.3">
      <c r="B315" s="134"/>
      <c r="D315" s="134"/>
      <c r="N315" s="135" t="s">
        <v>3490</v>
      </c>
    </row>
    <row r="316" spans="1:14" x14ac:dyDescent="0.3">
      <c r="A316">
        <v>315</v>
      </c>
      <c r="B316" s="134"/>
      <c r="D316" s="134"/>
      <c r="N316" s="135" t="s">
        <v>3491</v>
      </c>
    </row>
    <row r="317" spans="1:14" x14ac:dyDescent="0.3">
      <c r="B317" s="134"/>
      <c r="D317" s="134"/>
      <c r="N317" s="135" t="s">
        <v>3492</v>
      </c>
    </row>
    <row r="318" spans="1:14" x14ac:dyDescent="0.3">
      <c r="B318" s="134"/>
      <c r="D318" s="134"/>
      <c r="N318" s="135" t="s">
        <v>3493</v>
      </c>
    </row>
    <row r="319" spans="1:14" x14ac:dyDescent="0.3">
      <c r="B319" s="134"/>
      <c r="D319" s="134"/>
      <c r="N319" s="135" t="s">
        <v>3494</v>
      </c>
    </row>
    <row r="320" spans="1:14" x14ac:dyDescent="0.3">
      <c r="B320" s="134"/>
      <c r="D320" s="134"/>
      <c r="N320" s="135" t="s">
        <v>3495</v>
      </c>
    </row>
    <row r="321" spans="1:14" x14ac:dyDescent="0.3">
      <c r="A321">
        <v>320</v>
      </c>
      <c r="B321" s="134"/>
      <c r="D321" s="134"/>
      <c r="N321" s="135" t="s">
        <v>3496</v>
      </c>
    </row>
    <row r="322" spans="1:14" x14ac:dyDescent="0.3">
      <c r="B322" s="134"/>
      <c r="D322" s="134"/>
      <c r="N322" s="135" t="s">
        <v>3497</v>
      </c>
    </row>
    <row r="323" spans="1:14" x14ac:dyDescent="0.3">
      <c r="B323" s="134"/>
      <c r="D323" s="134"/>
      <c r="N323" s="135" t="s">
        <v>3498</v>
      </c>
    </row>
    <row r="324" spans="1:14" x14ac:dyDescent="0.3">
      <c r="B324" s="134"/>
      <c r="D324" s="134"/>
      <c r="N324" s="135" t="s">
        <v>3499</v>
      </c>
    </row>
    <row r="325" spans="1:14" x14ac:dyDescent="0.3">
      <c r="B325" s="134"/>
      <c r="D325" s="134"/>
      <c r="N325" s="135" t="s">
        <v>3500</v>
      </c>
    </row>
    <row r="326" spans="1:14" x14ac:dyDescent="0.3">
      <c r="A326">
        <v>325</v>
      </c>
      <c r="B326" s="134"/>
      <c r="D326" s="134"/>
      <c r="N326" s="135" t="s">
        <v>3501</v>
      </c>
    </row>
    <row r="327" spans="1:14" x14ac:dyDescent="0.3">
      <c r="B327" s="134"/>
      <c r="D327" s="134"/>
      <c r="N327" s="135" t="s">
        <v>3502</v>
      </c>
    </row>
    <row r="328" spans="1:14" x14ac:dyDescent="0.3">
      <c r="B328" s="134"/>
      <c r="D328" s="134"/>
      <c r="N328" s="135" t="s">
        <v>3503</v>
      </c>
    </row>
    <row r="329" spans="1:14" x14ac:dyDescent="0.3">
      <c r="B329" s="134"/>
      <c r="D329" s="134"/>
      <c r="N329" s="135" t="s">
        <v>3504</v>
      </c>
    </row>
    <row r="330" spans="1:14" x14ac:dyDescent="0.3">
      <c r="B330" s="134"/>
      <c r="D330" s="134"/>
      <c r="N330" s="135" t="s">
        <v>3505</v>
      </c>
    </row>
    <row r="331" spans="1:14" x14ac:dyDescent="0.3">
      <c r="A331">
        <v>330</v>
      </c>
      <c r="B331" s="134"/>
      <c r="D331" s="134"/>
      <c r="N331" s="135" t="s">
        <v>3506</v>
      </c>
    </row>
    <row r="332" spans="1:14" x14ac:dyDescent="0.3">
      <c r="B332" s="134"/>
      <c r="D332" s="134"/>
      <c r="N332" s="135" t="s">
        <v>3507</v>
      </c>
    </row>
    <row r="333" spans="1:14" x14ac:dyDescent="0.3">
      <c r="B333" s="134"/>
      <c r="D333" s="134"/>
      <c r="N333" s="135" t="s">
        <v>3346</v>
      </c>
    </row>
    <row r="334" spans="1:14" x14ac:dyDescent="0.3">
      <c r="B334" s="134"/>
      <c r="D334" s="134"/>
      <c r="N334" s="135" t="s">
        <v>3508</v>
      </c>
    </row>
    <row r="335" spans="1:14" x14ac:dyDescent="0.3">
      <c r="B335" s="134"/>
      <c r="D335" s="134"/>
      <c r="N335" s="135" t="s">
        <v>3509</v>
      </c>
    </row>
    <row r="336" spans="1:14" x14ac:dyDescent="0.3">
      <c r="A336">
        <v>335</v>
      </c>
      <c r="B336" s="134"/>
      <c r="D336" s="134"/>
      <c r="N336" s="135" t="s">
        <v>3510</v>
      </c>
    </row>
    <row r="337" spans="1:14" x14ac:dyDescent="0.3">
      <c r="B337" s="134"/>
      <c r="D337" s="134"/>
      <c r="N337" s="135" t="s">
        <v>3348</v>
      </c>
    </row>
    <row r="338" spans="1:14" x14ac:dyDescent="0.3">
      <c r="B338" s="134"/>
      <c r="D338" s="134"/>
      <c r="N338" s="135" t="s">
        <v>3723</v>
      </c>
    </row>
    <row r="339" spans="1:14" x14ac:dyDescent="0.3">
      <c r="B339" s="134"/>
      <c r="D339" s="134"/>
      <c r="N339" s="135" t="s">
        <v>3735</v>
      </c>
    </row>
    <row r="340" spans="1:14" x14ac:dyDescent="0.3">
      <c r="B340" s="134"/>
      <c r="D340" s="134"/>
      <c r="N340" s="132" t="s">
        <v>266</v>
      </c>
    </row>
    <row r="341" spans="1:14" x14ac:dyDescent="0.3">
      <c r="A341">
        <v>340</v>
      </c>
      <c r="B341" s="134"/>
      <c r="D341" s="134"/>
      <c r="N341" s="144" t="s">
        <v>3511</v>
      </c>
    </row>
    <row r="342" spans="1:14" x14ac:dyDescent="0.3">
      <c r="B342" s="134"/>
      <c r="D342" s="134"/>
      <c r="N342" s="144" t="s">
        <v>3512</v>
      </c>
    </row>
    <row r="343" spans="1:14" x14ac:dyDescent="0.3">
      <c r="B343" s="134"/>
      <c r="D343" s="134"/>
      <c r="N343" s="144" t="s">
        <v>3513</v>
      </c>
    </row>
    <row r="344" spans="1:14" x14ac:dyDescent="0.3">
      <c r="B344" s="134"/>
      <c r="D344" s="134"/>
      <c r="N344" s="144" t="s">
        <v>3514</v>
      </c>
    </row>
    <row r="345" spans="1:14" x14ac:dyDescent="0.3">
      <c r="B345" s="134"/>
      <c r="D345" s="134"/>
    </row>
    <row r="346" spans="1:14" x14ac:dyDescent="0.3">
      <c r="A346">
        <v>345</v>
      </c>
      <c r="B346" s="134"/>
      <c r="D346" s="134"/>
      <c r="N346" s="135" t="s">
        <v>3751</v>
      </c>
    </row>
    <row r="347" spans="1:14" x14ac:dyDescent="0.3">
      <c r="B347" s="134"/>
      <c r="D347" s="134"/>
      <c r="N347" s="135" t="s">
        <v>3742</v>
      </c>
    </row>
    <row r="348" spans="1:14" x14ac:dyDescent="0.3">
      <c r="B348" s="134"/>
      <c r="D348" s="134"/>
      <c r="N348" s="132" t="s">
        <v>266</v>
      </c>
    </row>
    <row r="349" spans="1:14" x14ac:dyDescent="0.3">
      <c r="B349" s="134"/>
      <c r="D349" s="134"/>
      <c r="N349" s="136" t="s">
        <v>3516</v>
      </c>
    </row>
    <row r="350" spans="1:14" x14ac:dyDescent="0.3">
      <c r="B350" s="134"/>
      <c r="D350" s="134"/>
      <c r="N350" s="135" t="s">
        <v>3517</v>
      </c>
    </row>
    <row r="351" spans="1:14" x14ac:dyDescent="0.3">
      <c r="A351">
        <v>350</v>
      </c>
      <c r="B351" s="134"/>
      <c r="D351" s="134"/>
      <c r="N351" s="135" t="s">
        <v>3351</v>
      </c>
    </row>
    <row r="352" spans="1:14" x14ac:dyDescent="0.3">
      <c r="B352" s="134"/>
      <c r="D352" s="134"/>
      <c r="N352" s="132" t="s">
        <v>266</v>
      </c>
    </row>
    <row r="353" spans="1:14" x14ac:dyDescent="0.3">
      <c r="B353" s="134"/>
      <c r="D353" s="134"/>
      <c r="N353" s="136" t="s">
        <v>3518</v>
      </c>
    </row>
    <row r="354" spans="1:14" x14ac:dyDescent="0.3">
      <c r="B354" s="134"/>
      <c r="D354" s="134"/>
      <c r="N354" s="136" t="s">
        <v>3519</v>
      </c>
    </row>
    <row r="355" spans="1:14" x14ac:dyDescent="0.3">
      <c r="B355" s="134"/>
      <c r="D355" s="134"/>
      <c r="N355" s="135" t="s">
        <v>3724</v>
      </c>
    </row>
    <row r="356" spans="1:14" ht="27" x14ac:dyDescent="0.3">
      <c r="A356">
        <v>355</v>
      </c>
      <c r="B356" s="134"/>
      <c r="D356" s="134"/>
      <c r="N356" s="135" t="s">
        <v>3725</v>
      </c>
    </row>
    <row r="357" spans="1:14" x14ac:dyDescent="0.3">
      <c r="B357" s="134"/>
      <c r="D357" s="134"/>
      <c r="N357" s="132" t="s">
        <v>266</v>
      </c>
    </row>
    <row r="358" spans="1:14" x14ac:dyDescent="0.3">
      <c r="B358" s="134"/>
      <c r="D358" s="134"/>
      <c r="N358" s="136" t="s">
        <v>3520</v>
      </c>
    </row>
    <row r="359" spans="1:14" x14ac:dyDescent="0.3">
      <c r="B359" s="134"/>
      <c r="D359" s="134"/>
      <c r="N359" s="136" t="s">
        <v>3521</v>
      </c>
    </row>
    <row r="360" spans="1:14" x14ac:dyDescent="0.3">
      <c r="B360" s="134"/>
      <c r="D360" s="134"/>
    </row>
    <row r="361" spans="1:14" x14ac:dyDescent="0.3">
      <c r="A361">
        <v>360</v>
      </c>
      <c r="B361" s="134"/>
      <c r="D361" s="134"/>
      <c r="N361" s="132" t="s">
        <v>266</v>
      </c>
    </row>
    <row r="362" spans="1:14" x14ac:dyDescent="0.3">
      <c r="B362" s="134"/>
      <c r="D362" s="134"/>
      <c r="N362" s="136" t="s">
        <v>3522</v>
      </c>
    </row>
    <row r="363" spans="1:14" ht="27" x14ac:dyDescent="0.3">
      <c r="B363" s="134"/>
      <c r="D363" s="134"/>
      <c r="N363" s="136" t="s">
        <v>3523</v>
      </c>
    </row>
    <row r="364" spans="1:14" x14ac:dyDescent="0.3">
      <c r="B364" s="134"/>
      <c r="D364" s="134"/>
      <c r="N364" s="135" t="s">
        <v>3524</v>
      </c>
    </row>
    <row r="365" spans="1:14" ht="15.6" x14ac:dyDescent="0.3">
      <c r="B365" s="134"/>
      <c r="D365" s="134"/>
      <c r="N365" s="138" t="s">
        <v>3525</v>
      </c>
    </row>
    <row r="366" spans="1:14" ht="30.6" x14ac:dyDescent="0.3">
      <c r="A366">
        <v>365</v>
      </c>
      <c r="B366" s="134"/>
      <c r="D366" s="134"/>
      <c r="N366" s="138" t="s">
        <v>3526</v>
      </c>
    </row>
    <row r="367" spans="1:14" x14ac:dyDescent="0.3">
      <c r="B367" s="139" t="s">
        <v>3107</v>
      </c>
      <c r="D367" s="134"/>
      <c r="N367" s="136" t="s">
        <v>3527</v>
      </c>
    </row>
    <row r="368" spans="1:14" ht="15.6" x14ac:dyDescent="0.3">
      <c r="B368" s="134">
        <v>1</v>
      </c>
      <c r="D368" s="134"/>
      <c r="N368" s="138" t="s">
        <v>3528</v>
      </c>
    </row>
    <row r="369" spans="1:14" x14ac:dyDescent="0.3">
      <c r="B369" s="134">
        <v>1</v>
      </c>
      <c r="D369" s="134"/>
      <c r="N369" s="135" t="s">
        <v>3529</v>
      </c>
    </row>
    <row r="370" spans="1:14" x14ac:dyDescent="0.3">
      <c r="B370" s="140" t="s">
        <v>3110</v>
      </c>
      <c r="D370" s="134"/>
      <c r="N370" s="135" t="s">
        <v>3530</v>
      </c>
    </row>
    <row r="371" spans="1:14" ht="15.6" x14ac:dyDescent="0.3">
      <c r="A371">
        <v>370</v>
      </c>
      <c r="B371" s="134"/>
      <c r="D371" s="134"/>
      <c r="N371" s="138" t="s">
        <v>2329</v>
      </c>
    </row>
    <row r="372" spans="1:14" x14ac:dyDescent="0.3">
      <c r="B372" s="134"/>
      <c r="D372" s="134"/>
      <c r="N372" s="136" t="s">
        <v>3531</v>
      </c>
    </row>
    <row r="373" spans="1:14" x14ac:dyDescent="0.3">
      <c r="B373" s="134"/>
      <c r="D373" s="134"/>
      <c r="N373" s="135" t="s">
        <v>3529</v>
      </c>
    </row>
    <row r="374" spans="1:14" x14ac:dyDescent="0.3">
      <c r="B374" s="134"/>
      <c r="D374" s="134"/>
      <c r="N374" s="135" t="s">
        <v>3532</v>
      </c>
    </row>
    <row r="375" spans="1:14" x14ac:dyDescent="0.3">
      <c r="B375" s="134"/>
      <c r="D375" s="134"/>
      <c r="N375" s="135" t="s">
        <v>3533</v>
      </c>
    </row>
    <row r="376" spans="1:14" x14ac:dyDescent="0.3">
      <c r="A376">
        <v>375</v>
      </c>
      <c r="B376" s="134"/>
      <c r="D376" s="134"/>
      <c r="N376" s="135" t="s">
        <v>3534</v>
      </c>
    </row>
    <row r="377" spans="1:14" x14ac:dyDescent="0.3">
      <c r="B377" s="134"/>
      <c r="D377" s="134"/>
      <c r="N377" s="132" t="s">
        <v>266</v>
      </c>
    </row>
    <row r="378" spans="1:14" x14ac:dyDescent="0.3">
      <c r="B378" s="134"/>
      <c r="D378" s="134"/>
      <c r="N378" s="135" t="s">
        <v>3535</v>
      </c>
    </row>
    <row r="379" spans="1:14" x14ac:dyDescent="0.3">
      <c r="B379" s="134"/>
      <c r="D379" s="134"/>
      <c r="N379" s="135" t="s">
        <v>3536</v>
      </c>
    </row>
    <row r="380" spans="1:14" x14ac:dyDescent="0.3">
      <c r="B380" s="134"/>
      <c r="D380" s="134"/>
      <c r="N380" s="135" t="s">
        <v>3537</v>
      </c>
    </row>
    <row r="381" spans="1:14" x14ac:dyDescent="0.3">
      <c r="A381">
        <v>380</v>
      </c>
      <c r="B381" s="134"/>
      <c r="D381" s="134"/>
      <c r="N381" s="135" t="s">
        <v>3538</v>
      </c>
    </row>
    <row r="382" spans="1:14" x14ac:dyDescent="0.3">
      <c r="B382" s="134"/>
      <c r="D382" s="134"/>
      <c r="N382" s="135" t="s">
        <v>3539</v>
      </c>
    </row>
    <row r="383" spans="1:14" x14ac:dyDescent="0.3">
      <c r="B383" s="134"/>
      <c r="D383" s="134"/>
      <c r="N383" s="132" t="s">
        <v>272</v>
      </c>
    </row>
    <row r="384" spans="1:14" x14ac:dyDescent="0.3">
      <c r="B384" s="134"/>
      <c r="D384" s="134"/>
      <c r="N384" s="132" t="s">
        <v>266</v>
      </c>
    </row>
    <row r="385" spans="1:14" x14ac:dyDescent="0.3">
      <c r="B385" s="134"/>
      <c r="D385" s="134"/>
      <c r="N385" s="136" t="s">
        <v>3540</v>
      </c>
    </row>
    <row r="386" spans="1:14" x14ac:dyDescent="0.3">
      <c r="A386">
        <v>385</v>
      </c>
      <c r="B386" s="134"/>
      <c r="D386" s="134"/>
      <c r="N386" s="132" t="s">
        <v>266</v>
      </c>
    </row>
    <row r="387" spans="1:14" x14ac:dyDescent="0.3">
      <c r="B387" s="134"/>
      <c r="D387" s="134"/>
      <c r="N387" s="136" t="s">
        <v>3541</v>
      </c>
    </row>
    <row r="388" spans="1:14" x14ac:dyDescent="0.3">
      <c r="B388" s="134"/>
      <c r="D388" s="134"/>
      <c r="N388" s="136" t="s">
        <v>3542</v>
      </c>
    </row>
    <row r="389" spans="1:14" x14ac:dyDescent="0.3">
      <c r="B389" s="134"/>
      <c r="D389" s="134"/>
      <c r="N389" s="136" t="s">
        <v>3543</v>
      </c>
    </row>
    <row r="390" spans="1:14" x14ac:dyDescent="0.3">
      <c r="B390" s="134"/>
      <c r="D390" s="134"/>
      <c r="N390" s="135" t="s">
        <v>3544</v>
      </c>
    </row>
    <row r="391" spans="1:14" ht="30.6" x14ac:dyDescent="0.3">
      <c r="A391">
        <v>390</v>
      </c>
      <c r="B391" s="134"/>
      <c r="D391" s="134"/>
      <c r="N391" s="138" t="s">
        <v>3545</v>
      </c>
    </row>
    <row r="392" spans="1:14" x14ac:dyDescent="0.3">
      <c r="B392" s="134"/>
      <c r="D392" s="134"/>
      <c r="N392" s="135" t="s">
        <v>3546</v>
      </c>
    </row>
    <row r="393" spans="1:14" x14ac:dyDescent="0.3">
      <c r="B393" s="134"/>
      <c r="D393" s="134"/>
      <c r="N393" s="135" t="s">
        <v>3547</v>
      </c>
    </row>
    <row r="394" spans="1:14" x14ac:dyDescent="0.3">
      <c r="B394" s="134"/>
      <c r="D394" s="134"/>
      <c r="N394" s="135" t="s">
        <v>3548</v>
      </c>
    </row>
    <row r="395" spans="1:14" x14ac:dyDescent="0.3">
      <c r="B395" s="134"/>
      <c r="D395" s="134"/>
      <c r="N395" s="132" t="s">
        <v>266</v>
      </c>
    </row>
    <row r="396" spans="1:14" x14ac:dyDescent="0.3">
      <c r="A396">
        <v>395</v>
      </c>
      <c r="B396" s="134"/>
      <c r="D396" s="134"/>
      <c r="N396" s="135" t="s">
        <v>3549</v>
      </c>
    </row>
    <row r="397" spans="1:14" ht="27" x14ac:dyDescent="0.3">
      <c r="B397" s="134"/>
      <c r="D397" s="134"/>
      <c r="N397" s="135" t="s">
        <v>3550</v>
      </c>
    </row>
    <row r="398" spans="1:14" x14ac:dyDescent="0.3">
      <c r="B398" s="134"/>
      <c r="D398" s="134"/>
      <c r="N398" s="135" t="s">
        <v>3551</v>
      </c>
    </row>
    <row r="399" spans="1:14" x14ac:dyDescent="0.3">
      <c r="B399" s="134"/>
      <c r="D399" s="134"/>
      <c r="N399" s="132" t="s">
        <v>2383</v>
      </c>
    </row>
    <row r="400" spans="1:14" x14ac:dyDescent="0.3">
      <c r="B400" s="134"/>
      <c r="D400" s="134"/>
      <c r="N400" s="136" t="s">
        <v>3552</v>
      </c>
    </row>
    <row r="401" spans="1:14" x14ac:dyDescent="0.3">
      <c r="A401">
        <v>400</v>
      </c>
      <c r="B401" s="134"/>
      <c r="D401" s="134"/>
      <c r="N401" s="135" t="s">
        <v>3553</v>
      </c>
    </row>
    <row r="402" spans="1:14" x14ac:dyDescent="0.3">
      <c r="B402" s="134"/>
      <c r="D402" s="134"/>
      <c r="N402" s="135" t="s">
        <v>3554</v>
      </c>
    </row>
    <row r="403" spans="1:14" x14ac:dyDescent="0.3">
      <c r="B403" s="134"/>
      <c r="D403" s="134"/>
      <c r="N403" s="132" t="s">
        <v>314</v>
      </c>
    </row>
    <row r="404" spans="1:14" x14ac:dyDescent="0.3">
      <c r="B404" s="134"/>
      <c r="D404" s="134"/>
      <c r="N404" s="132" t="s">
        <v>314</v>
      </c>
    </row>
    <row r="405" spans="1:14" x14ac:dyDescent="0.3">
      <c r="B405" s="134"/>
      <c r="D405" s="134"/>
      <c r="N405" s="132" t="s">
        <v>267</v>
      </c>
    </row>
    <row r="406" spans="1:14" x14ac:dyDescent="0.3">
      <c r="A406">
        <v>405</v>
      </c>
      <c r="B406" s="134"/>
      <c r="D406" s="134"/>
    </row>
    <row r="407" spans="1:14" x14ac:dyDescent="0.3">
      <c r="B407" s="139" t="s">
        <v>3107</v>
      </c>
      <c r="D407" s="134"/>
      <c r="N407" s="135" t="s">
        <v>3748</v>
      </c>
    </row>
    <row r="408" spans="1:14" ht="15.6" x14ac:dyDescent="0.3">
      <c r="B408" s="134">
        <v>1</v>
      </c>
      <c r="D408" s="134"/>
      <c r="N408" s="138" t="s">
        <v>3366</v>
      </c>
    </row>
    <row r="409" spans="1:14" x14ac:dyDescent="0.3">
      <c r="B409" s="134">
        <v>1</v>
      </c>
      <c r="D409" s="134"/>
      <c r="N409" s="132" t="s">
        <v>266</v>
      </c>
    </row>
    <row r="410" spans="1:14" x14ac:dyDescent="0.3">
      <c r="B410" s="134">
        <v>1</v>
      </c>
      <c r="D410" s="134"/>
      <c r="N410" s="136" t="s">
        <v>3741</v>
      </c>
    </row>
    <row r="411" spans="1:14" ht="15.6" x14ac:dyDescent="0.3">
      <c r="A411">
        <v>410</v>
      </c>
      <c r="B411" s="134">
        <v>1</v>
      </c>
      <c r="D411" s="134"/>
      <c r="F411" s="139" t="s">
        <v>3107</v>
      </c>
      <c r="H411" s="134"/>
      <c r="N411" s="138" t="s">
        <v>3749</v>
      </c>
    </row>
    <row r="412" spans="1:14" ht="15.6" x14ac:dyDescent="0.3">
      <c r="B412" s="134">
        <v>1</v>
      </c>
      <c r="D412" s="134"/>
      <c r="F412" s="134">
        <v>1</v>
      </c>
      <c r="H412" s="134"/>
      <c r="N412" s="138" t="s">
        <v>3734</v>
      </c>
    </row>
    <row r="413" spans="1:14" x14ac:dyDescent="0.3">
      <c r="B413" s="134">
        <v>1</v>
      </c>
      <c r="D413" s="134"/>
      <c r="F413" s="134">
        <v>1</v>
      </c>
      <c r="H413" s="134"/>
      <c r="N413" s="135" t="s">
        <v>3738</v>
      </c>
    </row>
    <row r="414" spans="1:14" x14ac:dyDescent="0.3">
      <c r="B414" s="134">
        <v>1</v>
      </c>
      <c r="D414" s="134"/>
      <c r="F414" s="134">
        <v>1</v>
      </c>
      <c r="H414" s="134"/>
      <c r="N414" s="135" t="s">
        <v>3739</v>
      </c>
    </row>
    <row r="415" spans="1:14" x14ac:dyDescent="0.3">
      <c r="B415" s="134">
        <v>1</v>
      </c>
      <c r="D415" s="134"/>
      <c r="F415" s="134">
        <v>1</v>
      </c>
      <c r="H415" s="134"/>
      <c r="N415" s="135" t="s">
        <v>3720</v>
      </c>
    </row>
    <row r="416" spans="1:14" ht="15.6" x14ac:dyDescent="0.3">
      <c r="A416">
        <v>415</v>
      </c>
      <c r="B416" s="134">
        <v>1</v>
      </c>
      <c r="D416" s="134"/>
      <c r="F416" s="140" t="s">
        <v>3110</v>
      </c>
      <c r="N416" s="138" t="s">
        <v>2321</v>
      </c>
    </row>
    <row r="417" spans="1:14" ht="15.6" x14ac:dyDescent="0.3">
      <c r="B417" s="134">
        <v>1</v>
      </c>
      <c r="D417" s="134"/>
      <c r="N417" s="138" t="s">
        <v>319</v>
      </c>
    </row>
    <row r="418" spans="1:14" x14ac:dyDescent="0.3">
      <c r="B418" s="134">
        <v>1</v>
      </c>
      <c r="D418" s="134"/>
      <c r="N418" s="132" t="s">
        <v>266</v>
      </c>
    </row>
    <row r="419" spans="1:14" x14ac:dyDescent="0.3">
      <c r="B419" s="134">
        <v>1</v>
      </c>
      <c r="D419" s="134"/>
      <c r="N419" s="136" t="s">
        <v>3732</v>
      </c>
    </row>
    <row r="420" spans="1:14" x14ac:dyDescent="0.3">
      <c r="B420" s="134">
        <v>1</v>
      </c>
      <c r="D420" s="134"/>
      <c r="N420" s="132" t="s">
        <v>2383</v>
      </c>
    </row>
    <row r="421" spans="1:14" x14ac:dyDescent="0.3">
      <c r="A421">
        <v>420</v>
      </c>
      <c r="B421" s="134">
        <v>1</v>
      </c>
      <c r="D421" s="134"/>
      <c r="N421" s="132" t="s">
        <v>2383</v>
      </c>
    </row>
    <row r="422" spans="1:14" x14ac:dyDescent="0.3">
      <c r="B422" s="134">
        <v>1</v>
      </c>
      <c r="D422" s="134"/>
      <c r="N422" s="136" t="s">
        <v>3555</v>
      </c>
    </row>
    <row r="423" spans="1:14" x14ac:dyDescent="0.3">
      <c r="B423" s="134">
        <v>1</v>
      </c>
      <c r="D423" s="134"/>
      <c r="N423" s="135" t="s">
        <v>3556</v>
      </c>
    </row>
    <row r="424" spans="1:14" x14ac:dyDescent="0.3">
      <c r="B424" s="134">
        <v>1</v>
      </c>
      <c r="D424" s="134"/>
      <c r="N424" s="135" t="s">
        <v>3557</v>
      </c>
    </row>
    <row r="425" spans="1:14" x14ac:dyDescent="0.3">
      <c r="B425" s="134">
        <v>1</v>
      </c>
      <c r="D425" s="134"/>
      <c r="F425" s="139" t="s">
        <v>3107</v>
      </c>
      <c r="H425" s="134"/>
      <c r="N425" s="135" t="s">
        <v>3558</v>
      </c>
    </row>
    <row r="426" spans="1:14" ht="15.6" x14ac:dyDescent="0.3">
      <c r="A426">
        <v>425</v>
      </c>
      <c r="B426" s="134">
        <v>1</v>
      </c>
      <c r="D426" s="134"/>
      <c r="F426" s="134">
        <v>1</v>
      </c>
      <c r="H426" s="134"/>
      <c r="N426" s="138" t="s">
        <v>3559</v>
      </c>
    </row>
    <row r="427" spans="1:14" x14ac:dyDescent="0.3">
      <c r="B427" s="134">
        <v>1</v>
      </c>
      <c r="D427" s="134"/>
      <c r="F427" s="134">
        <v>1</v>
      </c>
      <c r="H427" s="134"/>
      <c r="N427" s="135" t="s">
        <v>3560</v>
      </c>
    </row>
    <row r="428" spans="1:14" x14ac:dyDescent="0.3">
      <c r="B428" s="134">
        <v>1</v>
      </c>
      <c r="D428" s="134"/>
      <c r="F428" s="134">
        <v>1</v>
      </c>
      <c r="H428" s="134"/>
      <c r="N428" s="135" t="s">
        <v>3561</v>
      </c>
    </row>
    <row r="429" spans="1:14" ht="15.6" x14ac:dyDescent="0.3">
      <c r="B429" s="134">
        <v>1</v>
      </c>
      <c r="D429" s="134"/>
      <c r="F429" s="140" t="s">
        <v>3110</v>
      </c>
      <c r="N429" s="138" t="s">
        <v>2321</v>
      </c>
    </row>
    <row r="430" spans="1:14" ht="15.6" x14ac:dyDescent="0.3">
      <c r="B430" s="134">
        <v>1</v>
      </c>
      <c r="D430" s="134"/>
      <c r="N430" s="138" t="s">
        <v>319</v>
      </c>
    </row>
    <row r="431" spans="1:14" x14ac:dyDescent="0.3">
      <c r="A431">
        <v>430</v>
      </c>
      <c r="B431" s="134">
        <v>1</v>
      </c>
      <c r="D431" s="134"/>
      <c r="N431" s="132" t="s">
        <v>266</v>
      </c>
    </row>
    <row r="432" spans="1:14" x14ac:dyDescent="0.3">
      <c r="B432" s="134">
        <v>1</v>
      </c>
      <c r="D432" s="134"/>
      <c r="F432" s="139" t="s">
        <v>3107</v>
      </c>
      <c r="H432" s="134"/>
      <c r="N432" s="136" t="s">
        <v>3562</v>
      </c>
    </row>
    <row r="433" spans="1:14" ht="15.6" x14ac:dyDescent="0.3">
      <c r="B433" s="134">
        <v>1</v>
      </c>
      <c r="D433" s="134"/>
      <c r="F433" s="134">
        <v>1</v>
      </c>
      <c r="H433" s="134"/>
      <c r="N433" s="138" t="s">
        <v>3563</v>
      </c>
    </row>
    <row r="434" spans="1:14" x14ac:dyDescent="0.3">
      <c r="B434" s="134">
        <v>1</v>
      </c>
      <c r="D434" s="134"/>
      <c r="F434" s="134">
        <v>1</v>
      </c>
      <c r="H434" s="134"/>
      <c r="N434" s="132" t="s">
        <v>266</v>
      </c>
    </row>
    <row r="435" spans="1:14" ht="27" x14ac:dyDescent="0.3">
      <c r="B435" s="134">
        <v>1</v>
      </c>
      <c r="D435" s="134"/>
      <c r="F435" s="134">
        <v>1</v>
      </c>
      <c r="H435" s="134"/>
      <c r="N435" s="136" t="s">
        <v>3564</v>
      </c>
    </row>
    <row r="436" spans="1:14" x14ac:dyDescent="0.3">
      <c r="A436">
        <v>435</v>
      </c>
      <c r="B436" s="134">
        <v>1</v>
      </c>
      <c r="D436" s="134"/>
      <c r="F436" s="134">
        <v>1</v>
      </c>
      <c r="H436" s="134"/>
      <c r="N436" s="136" t="s">
        <v>3565</v>
      </c>
    </row>
    <row r="437" spans="1:14" ht="27" x14ac:dyDescent="0.3">
      <c r="B437" s="134">
        <v>1</v>
      </c>
      <c r="D437" s="134"/>
      <c r="F437" s="134">
        <v>1</v>
      </c>
      <c r="H437" s="134"/>
      <c r="N437" s="135" t="s">
        <v>3566</v>
      </c>
    </row>
    <row r="438" spans="1:14" ht="40.200000000000003" x14ac:dyDescent="0.3">
      <c r="B438" s="134">
        <v>1</v>
      </c>
      <c r="D438" s="134"/>
      <c r="F438" s="134">
        <v>1</v>
      </c>
      <c r="H438" s="134"/>
      <c r="N438" s="135" t="s">
        <v>3567</v>
      </c>
    </row>
    <row r="439" spans="1:14" ht="27" x14ac:dyDescent="0.3">
      <c r="B439" s="134">
        <v>1</v>
      </c>
      <c r="D439" s="134"/>
      <c r="F439" s="134">
        <v>1</v>
      </c>
      <c r="H439" s="134"/>
      <c r="N439" s="136" t="s">
        <v>3568</v>
      </c>
    </row>
    <row r="440" spans="1:14" x14ac:dyDescent="0.3">
      <c r="B440" s="134">
        <v>1</v>
      </c>
      <c r="D440" s="134"/>
      <c r="F440" s="134">
        <v>1</v>
      </c>
      <c r="H440" s="134"/>
      <c r="N440" s="136" t="s">
        <v>3569</v>
      </c>
    </row>
    <row r="441" spans="1:14" x14ac:dyDescent="0.3">
      <c r="A441">
        <v>440</v>
      </c>
      <c r="B441" s="134">
        <v>1</v>
      </c>
      <c r="D441" s="134"/>
      <c r="F441" s="134">
        <v>1</v>
      </c>
      <c r="H441" s="134"/>
      <c r="N441" s="136" t="s">
        <v>3570</v>
      </c>
    </row>
    <row r="442" spans="1:14" ht="27" x14ac:dyDescent="0.3">
      <c r="B442" s="134">
        <v>1</v>
      </c>
      <c r="D442" s="134"/>
      <c r="F442" s="134">
        <v>1</v>
      </c>
      <c r="H442" s="134"/>
      <c r="N442" s="135" t="s">
        <v>3571</v>
      </c>
    </row>
    <row r="443" spans="1:14" x14ac:dyDescent="0.3">
      <c r="B443" s="134">
        <v>1</v>
      </c>
      <c r="D443" s="134"/>
      <c r="F443" s="134">
        <v>1</v>
      </c>
      <c r="H443" s="134"/>
      <c r="N443" s="135" t="s">
        <v>3729</v>
      </c>
    </row>
    <row r="444" spans="1:14" ht="27" x14ac:dyDescent="0.3">
      <c r="B444" s="134">
        <v>1</v>
      </c>
      <c r="D444" s="134"/>
      <c r="F444" s="134">
        <v>1</v>
      </c>
      <c r="H444" s="134"/>
      <c r="N444" s="135" t="s">
        <v>3730</v>
      </c>
    </row>
    <row r="445" spans="1:14" ht="27" x14ac:dyDescent="0.3">
      <c r="B445" s="134">
        <v>1</v>
      </c>
      <c r="D445" s="134"/>
      <c r="F445" s="134">
        <v>1</v>
      </c>
      <c r="H445" s="134"/>
      <c r="N445" s="136" t="s">
        <v>3572</v>
      </c>
    </row>
    <row r="446" spans="1:14" x14ac:dyDescent="0.3">
      <c r="A446">
        <v>445</v>
      </c>
      <c r="B446" s="134">
        <v>1</v>
      </c>
      <c r="D446" s="134"/>
      <c r="F446" s="134">
        <v>1</v>
      </c>
      <c r="H446" s="134"/>
      <c r="N446" s="132" t="s">
        <v>267</v>
      </c>
    </row>
    <row r="447" spans="1:14" x14ac:dyDescent="0.3">
      <c r="B447" s="134">
        <v>1</v>
      </c>
      <c r="D447" s="134"/>
      <c r="F447" s="134">
        <v>1</v>
      </c>
      <c r="H447" s="134"/>
      <c r="N447" s="132" t="s">
        <v>314</v>
      </c>
    </row>
    <row r="448" spans="1:14" x14ac:dyDescent="0.3">
      <c r="B448" s="134">
        <v>1</v>
      </c>
      <c r="D448" s="134"/>
      <c r="F448" s="134">
        <v>1</v>
      </c>
      <c r="H448" s="134"/>
      <c r="N448" s="132" t="s">
        <v>3420</v>
      </c>
    </row>
    <row r="449" spans="1:14" ht="15.6" x14ac:dyDescent="0.3">
      <c r="B449" s="134">
        <v>1</v>
      </c>
      <c r="D449" s="134"/>
      <c r="F449" s="140" t="s">
        <v>3110</v>
      </c>
      <c r="N449" s="138" t="s">
        <v>2321</v>
      </c>
    </row>
    <row r="450" spans="1:14" ht="15.6" x14ac:dyDescent="0.3">
      <c r="B450" s="134">
        <v>1</v>
      </c>
      <c r="D450" s="134"/>
      <c r="N450" s="138" t="s">
        <v>319</v>
      </c>
    </row>
    <row r="451" spans="1:14" x14ac:dyDescent="0.3">
      <c r="A451">
        <v>450</v>
      </c>
      <c r="B451" s="134">
        <v>1</v>
      </c>
      <c r="D451" s="134"/>
      <c r="F451" s="139" t="s">
        <v>3107</v>
      </c>
      <c r="H451" s="134"/>
      <c r="N451" s="132" t="s">
        <v>266</v>
      </c>
    </row>
    <row r="452" spans="1:14" ht="15.6" x14ac:dyDescent="0.3">
      <c r="B452" s="134">
        <v>1</v>
      </c>
      <c r="D452" s="134"/>
      <c r="F452" s="134">
        <v>1</v>
      </c>
      <c r="H452" s="134"/>
      <c r="N452" s="138" t="s">
        <v>3573</v>
      </c>
    </row>
    <row r="453" spans="1:14" x14ac:dyDescent="0.3">
      <c r="B453" s="134">
        <v>1</v>
      </c>
      <c r="D453" s="134"/>
      <c r="F453" s="134">
        <v>1</v>
      </c>
      <c r="H453" s="134"/>
      <c r="N453" s="135" t="s">
        <v>3574</v>
      </c>
    </row>
    <row r="454" spans="1:14" ht="15.6" x14ac:dyDescent="0.3">
      <c r="B454" s="134">
        <v>1</v>
      </c>
      <c r="D454" s="134"/>
      <c r="F454" s="134">
        <v>1</v>
      </c>
      <c r="H454" s="134"/>
      <c r="N454" s="138" t="s">
        <v>273</v>
      </c>
    </row>
    <row r="455" spans="1:14" x14ac:dyDescent="0.3">
      <c r="B455" s="134">
        <v>1</v>
      </c>
      <c r="D455" s="134"/>
      <c r="F455" s="140" t="s">
        <v>3110</v>
      </c>
      <c r="N455" s="135" t="s">
        <v>3575</v>
      </c>
    </row>
    <row r="456" spans="1:14" ht="15.6" x14ac:dyDescent="0.3">
      <c r="A456">
        <v>455</v>
      </c>
      <c r="B456" s="134">
        <v>1</v>
      </c>
      <c r="D456" s="134"/>
      <c r="N456" s="138" t="s">
        <v>3576</v>
      </c>
    </row>
    <row r="457" spans="1:14" x14ac:dyDescent="0.3">
      <c r="B457" s="134">
        <v>1</v>
      </c>
      <c r="D457" s="134"/>
      <c r="F457" s="139" t="s">
        <v>3107</v>
      </c>
      <c r="H457" s="134"/>
      <c r="N457" s="132" t="s">
        <v>266</v>
      </c>
    </row>
    <row r="458" spans="1:14" ht="15.6" x14ac:dyDescent="0.3">
      <c r="B458" s="134">
        <v>1</v>
      </c>
      <c r="D458" s="134"/>
      <c r="F458" s="134">
        <v>1</v>
      </c>
      <c r="H458" s="134"/>
      <c r="N458" s="138" t="s">
        <v>3577</v>
      </c>
    </row>
    <row r="459" spans="1:14" x14ac:dyDescent="0.3">
      <c r="B459" s="134">
        <v>1</v>
      </c>
      <c r="D459" s="134"/>
      <c r="F459" s="134">
        <v>1</v>
      </c>
      <c r="H459" s="134"/>
      <c r="N459" s="136" t="s">
        <v>3578</v>
      </c>
    </row>
    <row r="460" spans="1:14" x14ac:dyDescent="0.3">
      <c r="B460" s="134">
        <v>1</v>
      </c>
      <c r="D460" s="134"/>
      <c r="F460" s="134">
        <v>1</v>
      </c>
      <c r="H460" s="134"/>
      <c r="N460" s="135" t="s">
        <v>3579</v>
      </c>
    </row>
    <row r="461" spans="1:14" ht="15.6" x14ac:dyDescent="0.3">
      <c r="A461">
        <v>460</v>
      </c>
      <c r="B461" s="134">
        <v>1</v>
      </c>
      <c r="D461" s="134"/>
      <c r="F461" s="134">
        <v>1</v>
      </c>
      <c r="H461" s="134"/>
      <c r="N461" s="138" t="s">
        <v>3580</v>
      </c>
    </row>
    <row r="462" spans="1:14" ht="15.6" x14ac:dyDescent="0.3">
      <c r="B462" s="134">
        <v>1</v>
      </c>
      <c r="D462" s="134"/>
      <c r="F462" s="134">
        <v>1</v>
      </c>
      <c r="H462" s="134"/>
      <c r="N462" s="138" t="s">
        <v>3581</v>
      </c>
    </row>
    <row r="463" spans="1:14" x14ac:dyDescent="0.3">
      <c r="B463" s="134">
        <v>1</v>
      </c>
      <c r="D463" s="134"/>
      <c r="F463" s="134">
        <v>1</v>
      </c>
      <c r="H463" s="134"/>
      <c r="N463" s="132" t="s">
        <v>267</v>
      </c>
    </row>
    <row r="464" spans="1:14" x14ac:dyDescent="0.3">
      <c r="B464" s="134">
        <v>1</v>
      </c>
      <c r="D464" s="134"/>
      <c r="F464" s="134">
        <v>1</v>
      </c>
      <c r="H464" s="134"/>
      <c r="N464" s="135" t="s">
        <v>3582</v>
      </c>
    </row>
    <row r="465" spans="1:14" x14ac:dyDescent="0.3">
      <c r="B465" s="134">
        <v>1</v>
      </c>
      <c r="D465" s="134"/>
      <c r="F465" s="134">
        <v>1</v>
      </c>
      <c r="H465" s="134"/>
      <c r="N465" s="132" t="s">
        <v>267</v>
      </c>
    </row>
    <row r="466" spans="1:14" x14ac:dyDescent="0.3">
      <c r="A466">
        <v>465</v>
      </c>
      <c r="B466" s="134">
        <v>1</v>
      </c>
      <c r="D466" s="134"/>
      <c r="F466" s="134">
        <v>1</v>
      </c>
      <c r="H466" s="134"/>
      <c r="N466" s="132" t="s">
        <v>267</v>
      </c>
    </row>
    <row r="467" spans="1:14" ht="30.6" x14ac:dyDescent="0.3">
      <c r="B467" s="134">
        <v>1</v>
      </c>
      <c r="D467" s="134"/>
      <c r="F467" s="134">
        <v>1</v>
      </c>
      <c r="H467" s="134"/>
      <c r="N467" s="138" t="s">
        <v>3583</v>
      </c>
    </row>
    <row r="468" spans="1:14" ht="30.6" x14ac:dyDescent="0.3">
      <c r="B468" s="134">
        <v>1</v>
      </c>
      <c r="D468" s="134"/>
      <c r="F468" s="134">
        <v>1</v>
      </c>
      <c r="H468" s="134"/>
      <c r="N468" s="138" t="s">
        <v>3584</v>
      </c>
    </row>
    <row r="469" spans="1:14" ht="15.6" x14ac:dyDescent="0.3">
      <c r="B469" s="134">
        <v>1</v>
      </c>
      <c r="D469" s="134"/>
      <c r="F469" s="134">
        <v>1</v>
      </c>
      <c r="H469" s="134"/>
      <c r="N469" s="138" t="s">
        <v>3585</v>
      </c>
    </row>
    <row r="470" spans="1:14" x14ac:dyDescent="0.3">
      <c r="B470" s="134">
        <v>1</v>
      </c>
      <c r="D470" s="134"/>
      <c r="F470" s="134">
        <v>1</v>
      </c>
      <c r="H470" s="134"/>
      <c r="N470" s="132" t="s">
        <v>267</v>
      </c>
    </row>
    <row r="471" spans="1:14" x14ac:dyDescent="0.3">
      <c r="A471">
        <v>470</v>
      </c>
      <c r="B471" s="134">
        <v>1</v>
      </c>
      <c r="D471" s="134"/>
      <c r="F471" s="134">
        <v>1</v>
      </c>
      <c r="H471" s="134"/>
      <c r="N471" s="135" t="s">
        <v>3586</v>
      </c>
    </row>
    <row r="472" spans="1:14" x14ac:dyDescent="0.3">
      <c r="B472" s="134">
        <v>1</v>
      </c>
      <c r="D472" s="134"/>
      <c r="F472" s="134">
        <v>1</v>
      </c>
      <c r="H472" s="134"/>
      <c r="N472" s="132" t="s">
        <v>267</v>
      </c>
    </row>
    <row r="473" spans="1:14" x14ac:dyDescent="0.3">
      <c r="B473" s="134">
        <v>1</v>
      </c>
      <c r="D473" s="134"/>
      <c r="F473" s="134">
        <v>1</v>
      </c>
      <c r="H473" s="134"/>
      <c r="N473" s="135" t="s">
        <v>3587</v>
      </c>
    </row>
    <row r="474" spans="1:14" x14ac:dyDescent="0.3">
      <c r="B474" s="134">
        <v>1</v>
      </c>
      <c r="D474" s="134"/>
      <c r="F474" s="134">
        <v>1</v>
      </c>
      <c r="H474" s="134"/>
      <c r="N474" s="135" t="s">
        <v>3588</v>
      </c>
    </row>
    <row r="475" spans="1:14" x14ac:dyDescent="0.3">
      <c r="B475" s="134">
        <v>1</v>
      </c>
      <c r="D475" s="134"/>
      <c r="F475" s="134">
        <v>1</v>
      </c>
      <c r="H475" s="134"/>
      <c r="N475" s="132" t="s">
        <v>269</v>
      </c>
    </row>
    <row r="476" spans="1:14" x14ac:dyDescent="0.3">
      <c r="A476">
        <v>475</v>
      </c>
      <c r="B476" s="134">
        <v>1</v>
      </c>
      <c r="D476" s="134"/>
      <c r="H476" s="139" t="s">
        <v>3107</v>
      </c>
      <c r="J476" s="140"/>
      <c r="N476" s="135" t="s">
        <v>3589</v>
      </c>
    </row>
    <row r="477" spans="1:14" ht="15.6" x14ac:dyDescent="0.3">
      <c r="B477" s="134">
        <v>1</v>
      </c>
      <c r="D477" s="134"/>
      <c r="H477" s="140">
        <v>2</v>
      </c>
      <c r="J477" s="140"/>
      <c r="N477" s="138" t="s">
        <v>3590</v>
      </c>
    </row>
    <row r="478" spans="1:14" x14ac:dyDescent="0.3">
      <c r="B478" s="134">
        <v>1</v>
      </c>
      <c r="D478" s="134"/>
      <c r="H478" s="140">
        <v>2</v>
      </c>
      <c r="J478" s="140"/>
      <c r="N478" s="135" t="s">
        <v>3591</v>
      </c>
    </row>
    <row r="479" spans="1:14" ht="15.6" x14ac:dyDescent="0.3">
      <c r="B479" s="134">
        <v>1</v>
      </c>
      <c r="D479" s="134"/>
      <c r="H479" s="140">
        <v>2</v>
      </c>
      <c r="J479" s="140"/>
      <c r="N479" s="138" t="s">
        <v>2389</v>
      </c>
    </row>
    <row r="480" spans="1:14" x14ac:dyDescent="0.3">
      <c r="B480" s="134">
        <v>1</v>
      </c>
      <c r="D480" s="134"/>
      <c r="F480" s="134">
        <v>1</v>
      </c>
      <c r="H480" s="140" t="s">
        <v>3110</v>
      </c>
      <c r="N480" s="135" t="s">
        <v>3592</v>
      </c>
    </row>
    <row r="481" spans="1:14" ht="15.6" x14ac:dyDescent="0.3">
      <c r="A481">
        <v>480</v>
      </c>
      <c r="B481" s="134">
        <v>1</v>
      </c>
      <c r="D481" s="134"/>
      <c r="F481" s="134">
        <v>1</v>
      </c>
      <c r="H481" s="134"/>
      <c r="N481" s="138" t="s">
        <v>317</v>
      </c>
    </row>
    <row r="482" spans="1:14" x14ac:dyDescent="0.3">
      <c r="B482" s="134">
        <v>1</v>
      </c>
      <c r="D482" s="134"/>
      <c r="F482" s="134">
        <v>1</v>
      </c>
      <c r="H482" s="134"/>
      <c r="N482" s="132" t="s">
        <v>269</v>
      </c>
    </row>
    <row r="483" spans="1:14" x14ac:dyDescent="0.3">
      <c r="B483" s="134">
        <v>1</v>
      </c>
      <c r="D483" s="134"/>
      <c r="F483" s="134">
        <v>1</v>
      </c>
      <c r="H483" s="134"/>
      <c r="N483" s="135" t="s">
        <v>3593</v>
      </c>
    </row>
    <row r="484" spans="1:14" ht="27" x14ac:dyDescent="0.3">
      <c r="B484" s="134">
        <v>1</v>
      </c>
      <c r="D484" s="134"/>
      <c r="F484" s="134">
        <v>1</v>
      </c>
      <c r="H484" s="134"/>
      <c r="N484" s="136" t="s">
        <v>3594</v>
      </c>
    </row>
    <row r="485" spans="1:14" x14ac:dyDescent="0.3">
      <c r="B485" s="134">
        <v>1</v>
      </c>
      <c r="D485" s="134"/>
      <c r="H485" s="139" t="s">
        <v>3107</v>
      </c>
      <c r="J485" s="140"/>
      <c r="N485" s="136" t="s">
        <v>3595</v>
      </c>
    </row>
    <row r="486" spans="1:14" ht="15.6" x14ac:dyDescent="0.3">
      <c r="A486">
        <v>485</v>
      </c>
      <c r="B486" s="134">
        <v>1</v>
      </c>
      <c r="D486" s="134"/>
      <c r="H486" s="140">
        <v>2</v>
      </c>
      <c r="J486" s="140"/>
      <c r="N486" s="138" t="s">
        <v>3596</v>
      </c>
    </row>
    <row r="487" spans="1:14" x14ac:dyDescent="0.3">
      <c r="B487" s="134">
        <v>1</v>
      </c>
      <c r="D487" s="134"/>
      <c r="H487" s="140">
        <v>2</v>
      </c>
      <c r="J487" s="140"/>
      <c r="N487" s="135" t="s">
        <v>3597</v>
      </c>
    </row>
    <row r="488" spans="1:14" ht="30.6" x14ac:dyDescent="0.3">
      <c r="B488" s="134">
        <v>1</v>
      </c>
      <c r="D488" s="134"/>
      <c r="H488" s="140">
        <v>2</v>
      </c>
      <c r="J488" s="140"/>
      <c r="N488" s="138" t="s">
        <v>3598</v>
      </c>
    </row>
    <row r="489" spans="1:14" ht="15.6" x14ac:dyDescent="0.3">
      <c r="B489" s="134">
        <v>1</v>
      </c>
      <c r="D489" s="134"/>
      <c r="H489" s="140">
        <v>2</v>
      </c>
      <c r="J489" s="140"/>
      <c r="N489" s="138" t="s">
        <v>2389</v>
      </c>
    </row>
    <row r="490" spans="1:14" x14ac:dyDescent="0.3">
      <c r="B490" s="134">
        <v>1</v>
      </c>
      <c r="D490" s="134"/>
      <c r="F490" s="134">
        <v>1</v>
      </c>
      <c r="H490" s="140" t="s">
        <v>3110</v>
      </c>
      <c r="N490" s="135" t="s">
        <v>3599</v>
      </c>
    </row>
    <row r="491" spans="1:14" ht="15.6" x14ac:dyDescent="0.3">
      <c r="A491">
        <v>490</v>
      </c>
      <c r="B491" s="134">
        <v>1</v>
      </c>
      <c r="D491" s="134"/>
      <c r="F491" s="134">
        <v>1</v>
      </c>
      <c r="H491" s="134"/>
      <c r="N491" s="138" t="s">
        <v>317</v>
      </c>
    </row>
    <row r="492" spans="1:14" x14ac:dyDescent="0.3">
      <c r="B492" s="134">
        <v>1</v>
      </c>
      <c r="D492" s="134"/>
      <c r="F492" s="134">
        <v>1</v>
      </c>
      <c r="H492" s="134"/>
      <c r="N492" s="132" t="s">
        <v>270</v>
      </c>
    </row>
    <row r="493" spans="1:14" ht="15.6" x14ac:dyDescent="0.3">
      <c r="B493" s="134">
        <v>1</v>
      </c>
      <c r="D493" s="134"/>
      <c r="F493" s="134">
        <v>1</v>
      </c>
      <c r="H493" s="134"/>
      <c r="N493" s="138" t="s">
        <v>3600</v>
      </c>
    </row>
    <row r="494" spans="1:14" x14ac:dyDescent="0.3">
      <c r="B494" s="134">
        <v>1</v>
      </c>
      <c r="D494" s="134"/>
      <c r="F494" s="134">
        <v>1</v>
      </c>
      <c r="H494" s="134"/>
      <c r="N494" s="136" t="s">
        <v>3601</v>
      </c>
    </row>
    <row r="495" spans="1:14" x14ac:dyDescent="0.3">
      <c r="B495" s="134">
        <v>1</v>
      </c>
      <c r="D495" s="134"/>
      <c r="F495" s="134">
        <v>1</v>
      </c>
      <c r="H495" s="134"/>
      <c r="N495" s="136" t="s">
        <v>3602</v>
      </c>
    </row>
    <row r="496" spans="1:14" ht="40.200000000000003" x14ac:dyDescent="0.3">
      <c r="A496">
        <v>495</v>
      </c>
      <c r="B496" s="134">
        <v>1</v>
      </c>
      <c r="D496" s="134"/>
      <c r="F496" s="134">
        <v>1</v>
      </c>
      <c r="H496" s="134"/>
      <c r="N496" s="135" t="s">
        <v>3603</v>
      </c>
    </row>
    <row r="497" spans="1:14" x14ac:dyDescent="0.3">
      <c r="B497" s="134">
        <v>1</v>
      </c>
      <c r="D497" s="134"/>
      <c r="F497" s="134">
        <v>1</v>
      </c>
      <c r="H497" s="134"/>
      <c r="N497" s="135" t="s">
        <v>3604</v>
      </c>
    </row>
    <row r="498" spans="1:14" ht="27" x14ac:dyDescent="0.3">
      <c r="B498" s="134">
        <v>1</v>
      </c>
      <c r="D498" s="134"/>
      <c r="F498" s="134">
        <v>1</v>
      </c>
      <c r="H498" s="134"/>
      <c r="N498" s="135" t="s">
        <v>3605</v>
      </c>
    </row>
    <row r="499" spans="1:14" ht="45.6" x14ac:dyDescent="0.3">
      <c r="B499" s="134">
        <v>1</v>
      </c>
      <c r="D499" s="134"/>
      <c r="F499" s="134">
        <v>1</v>
      </c>
      <c r="H499" s="134"/>
      <c r="N499" s="138" t="s">
        <v>3606</v>
      </c>
    </row>
    <row r="500" spans="1:14" ht="30.6" x14ac:dyDescent="0.3">
      <c r="B500" s="134">
        <v>1</v>
      </c>
      <c r="D500" s="134"/>
      <c r="F500" s="134">
        <v>1</v>
      </c>
      <c r="H500" s="134"/>
      <c r="N500" s="138" t="s">
        <v>3607</v>
      </c>
    </row>
    <row r="501" spans="1:14" ht="30.6" x14ac:dyDescent="0.3">
      <c r="A501">
        <v>500</v>
      </c>
      <c r="B501" s="134">
        <v>1</v>
      </c>
      <c r="D501" s="134"/>
      <c r="F501" s="134">
        <v>1</v>
      </c>
      <c r="H501" s="134"/>
      <c r="N501" s="138" t="s">
        <v>3608</v>
      </c>
    </row>
    <row r="502" spans="1:14" ht="15.6" x14ac:dyDescent="0.3">
      <c r="B502" s="134">
        <v>1</v>
      </c>
      <c r="D502" s="134"/>
      <c r="F502" s="140" t="s">
        <v>3110</v>
      </c>
      <c r="N502" s="138" t="s">
        <v>2321</v>
      </c>
    </row>
    <row r="503" spans="1:14" ht="15.6" x14ac:dyDescent="0.3">
      <c r="B503" s="134">
        <v>1</v>
      </c>
      <c r="D503" s="134"/>
      <c r="N503" s="138" t="s">
        <v>319</v>
      </c>
    </row>
    <row r="504" spans="1:14" x14ac:dyDescent="0.3">
      <c r="B504" s="134">
        <v>1</v>
      </c>
      <c r="D504" s="134"/>
      <c r="F504" s="139" t="s">
        <v>3107</v>
      </c>
      <c r="H504" s="134"/>
      <c r="N504" s="132" t="s">
        <v>266</v>
      </c>
    </row>
    <row r="505" spans="1:14" ht="15.6" x14ac:dyDescent="0.3">
      <c r="B505" s="134">
        <v>1</v>
      </c>
      <c r="D505" s="134"/>
      <c r="F505" s="134">
        <v>1</v>
      </c>
      <c r="H505" s="134"/>
      <c r="N505" s="138" t="s">
        <v>3609</v>
      </c>
    </row>
    <row r="506" spans="1:14" x14ac:dyDescent="0.3">
      <c r="A506">
        <v>505</v>
      </c>
      <c r="B506" s="134">
        <v>1</v>
      </c>
      <c r="D506" s="134"/>
      <c r="F506" s="134">
        <v>1</v>
      </c>
      <c r="H506" s="134"/>
      <c r="N506" s="136" t="s">
        <v>3610</v>
      </c>
    </row>
    <row r="507" spans="1:14" x14ac:dyDescent="0.3">
      <c r="B507" s="134">
        <v>1</v>
      </c>
      <c r="D507" s="134"/>
      <c r="F507" s="134">
        <v>1</v>
      </c>
      <c r="H507" s="134"/>
      <c r="N507" s="135" t="s">
        <v>3611</v>
      </c>
    </row>
    <row r="508" spans="1:14" x14ac:dyDescent="0.3">
      <c r="B508" s="134">
        <v>1</v>
      </c>
      <c r="D508" s="134"/>
      <c r="F508" s="134">
        <v>1</v>
      </c>
      <c r="H508" s="134"/>
      <c r="N508" s="135" t="s">
        <v>3612</v>
      </c>
    </row>
    <row r="509" spans="1:14" ht="15.6" x14ac:dyDescent="0.3">
      <c r="B509" s="134">
        <v>1</v>
      </c>
      <c r="D509" s="134"/>
      <c r="H509" s="139" t="s">
        <v>3107</v>
      </c>
      <c r="J509" s="140"/>
      <c r="N509" s="138" t="s">
        <v>3613</v>
      </c>
    </row>
    <row r="510" spans="1:14" ht="15.6" x14ac:dyDescent="0.3">
      <c r="B510" s="134">
        <v>1</v>
      </c>
      <c r="D510" s="134"/>
      <c r="H510" s="140">
        <v>2</v>
      </c>
      <c r="J510" s="140"/>
      <c r="N510" s="138" t="s">
        <v>3614</v>
      </c>
    </row>
    <row r="511" spans="1:14" x14ac:dyDescent="0.3">
      <c r="A511">
        <v>510</v>
      </c>
      <c r="B511" s="134">
        <v>1</v>
      </c>
      <c r="D511" s="134"/>
      <c r="H511" s="140">
        <v>2</v>
      </c>
      <c r="J511" s="140"/>
      <c r="N511" s="135" t="s">
        <v>3615</v>
      </c>
    </row>
    <row r="512" spans="1:14" ht="15.6" x14ac:dyDescent="0.3">
      <c r="B512" s="134">
        <v>1</v>
      </c>
      <c r="D512" s="134"/>
      <c r="H512" s="140">
        <v>2</v>
      </c>
      <c r="J512" s="140"/>
      <c r="N512" s="138" t="s">
        <v>2387</v>
      </c>
    </row>
    <row r="513" spans="1:14" x14ac:dyDescent="0.3">
      <c r="B513" s="134">
        <v>1</v>
      </c>
      <c r="D513" s="134"/>
      <c r="F513" s="134">
        <v>1</v>
      </c>
      <c r="H513" s="140" t="s">
        <v>3110</v>
      </c>
      <c r="N513" s="135" t="s">
        <v>3616</v>
      </c>
    </row>
    <row r="514" spans="1:14" ht="15.6" x14ac:dyDescent="0.3">
      <c r="B514" s="134">
        <v>1</v>
      </c>
      <c r="D514" s="134"/>
      <c r="F514" s="134">
        <v>1</v>
      </c>
      <c r="H514" s="134"/>
      <c r="N514" s="138" t="s">
        <v>318</v>
      </c>
    </row>
    <row r="515" spans="1:14" x14ac:dyDescent="0.3">
      <c r="B515" s="134">
        <v>1</v>
      </c>
      <c r="D515" s="134"/>
      <c r="F515" s="134">
        <v>1</v>
      </c>
      <c r="H515" s="134"/>
      <c r="N515" s="132" t="s">
        <v>267</v>
      </c>
    </row>
    <row r="516" spans="1:14" x14ac:dyDescent="0.3">
      <c r="A516">
        <v>515</v>
      </c>
      <c r="B516" s="134">
        <v>1</v>
      </c>
      <c r="D516" s="134"/>
      <c r="F516" s="134">
        <v>1</v>
      </c>
      <c r="H516" s="134"/>
      <c r="N516" s="132" t="s">
        <v>267</v>
      </c>
    </row>
    <row r="517" spans="1:14" x14ac:dyDescent="0.3">
      <c r="B517" s="134">
        <v>1</v>
      </c>
      <c r="D517" s="134"/>
      <c r="F517" s="134">
        <v>1</v>
      </c>
      <c r="H517" s="134"/>
      <c r="N517" s="132" t="s">
        <v>267</v>
      </c>
    </row>
    <row r="518" spans="1:14" x14ac:dyDescent="0.3">
      <c r="B518" s="134">
        <v>1</v>
      </c>
      <c r="D518" s="134"/>
      <c r="F518" s="134">
        <v>1</v>
      </c>
      <c r="H518" s="134"/>
      <c r="N518" s="135" t="s">
        <v>3617</v>
      </c>
    </row>
    <row r="519" spans="1:14" x14ac:dyDescent="0.3">
      <c r="B519" s="134">
        <v>1</v>
      </c>
      <c r="D519" s="134"/>
      <c r="F519" s="134">
        <v>1</v>
      </c>
      <c r="H519" s="134"/>
      <c r="N519" s="132" t="s">
        <v>267</v>
      </c>
    </row>
    <row r="520" spans="1:14" x14ac:dyDescent="0.3">
      <c r="B520" s="134">
        <v>1</v>
      </c>
      <c r="D520" s="134"/>
      <c r="F520" s="134">
        <v>1</v>
      </c>
      <c r="H520" s="134"/>
      <c r="N520" s="132" t="s">
        <v>267</v>
      </c>
    </row>
    <row r="521" spans="1:14" ht="15.6" x14ac:dyDescent="0.3">
      <c r="A521">
        <v>520</v>
      </c>
      <c r="B521" s="134">
        <v>1</v>
      </c>
      <c r="D521" s="134"/>
      <c r="F521" s="134">
        <v>1</v>
      </c>
      <c r="H521" s="134"/>
      <c r="N521" s="138" t="s">
        <v>3618</v>
      </c>
    </row>
    <row r="522" spans="1:14" ht="15.6" x14ac:dyDescent="0.3">
      <c r="B522" s="134">
        <v>1</v>
      </c>
      <c r="D522" s="134"/>
      <c r="F522" s="134">
        <v>1</v>
      </c>
      <c r="H522" s="134"/>
      <c r="N522" s="138" t="s">
        <v>3619</v>
      </c>
    </row>
    <row r="523" spans="1:14" ht="15.6" x14ac:dyDescent="0.3">
      <c r="B523" s="134">
        <v>1</v>
      </c>
      <c r="D523" s="134"/>
      <c r="F523" s="134">
        <v>1</v>
      </c>
      <c r="H523" s="134"/>
      <c r="N523" s="138" t="s">
        <v>3620</v>
      </c>
    </row>
    <row r="524" spans="1:14" x14ac:dyDescent="0.3">
      <c r="B524" s="134">
        <v>1</v>
      </c>
      <c r="D524" s="134"/>
      <c r="F524" s="134">
        <v>1</v>
      </c>
      <c r="H524" s="134"/>
      <c r="N524" s="132" t="s">
        <v>267</v>
      </c>
    </row>
    <row r="525" spans="1:14" x14ac:dyDescent="0.3">
      <c r="B525" s="134">
        <v>1</v>
      </c>
      <c r="D525" s="134"/>
      <c r="F525" s="134">
        <v>1</v>
      </c>
      <c r="H525" s="134"/>
      <c r="N525" s="135" t="s">
        <v>3586</v>
      </c>
    </row>
    <row r="526" spans="1:14" x14ac:dyDescent="0.3">
      <c r="A526">
        <v>525</v>
      </c>
      <c r="B526" s="134">
        <v>1</v>
      </c>
      <c r="D526" s="134"/>
      <c r="F526" s="134">
        <v>1</v>
      </c>
      <c r="H526" s="134"/>
      <c r="N526" s="132" t="s">
        <v>267</v>
      </c>
    </row>
    <row r="527" spans="1:14" x14ac:dyDescent="0.3">
      <c r="B527" s="134">
        <v>1</v>
      </c>
      <c r="D527" s="134"/>
      <c r="F527" s="134">
        <v>1</v>
      </c>
      <c r="H527" s="134"/>
      <c r="N527" s="135" t="s">
        <v>3587</v>
      </c>
    </row>
    <row r="528" spans="1:14" x14ac:dyDescent="0.3">
      <c r="B528" s="134">
        <v>1</v>
      </c>
      <c r="D528" s="134"/>
      <c r="F528" s="134">
        <v>1</v>
      </c>
      <c r="H528" s="134"/>
      <c r="N528" s="135" t="s">
        <v>3588</v>
      </c>
    </row>
    <row r="529" spans="1:14" x14ac:dyDescent="0.3">
      <c r="B529" s="134">
        <v>1</v>
      </c>
      <c r="D529" s="134"/>
      <c r="F529" s="134">
        <v>1</v>
      </c>
      <c r="H529" s="134"/>
      <c r="N529" s="132" t="s">
        <v>269</v>
      </c>
    </row>
    <row r="530" spans="1:14" x14ac:dyDescent="0.3">
      <c r="B530" s="134">
        <v>1</v>
      </c>
      <c r="D530" s="134"/>
      <c r="H530" s="139" t="s">
        <v>3107</v>
      </c>
      <c r="J530" s="140"/>
      <c r="N530" s="135" t="s">
        <v>3589</v>
      </c>
    </row>
    <row r="531" spans="1:14" ht="15.6" x14ac:dyDescent="0.3">
      <c r="A531">
        <v>530</v>
      </c>
      <c r="B531" s="134">
        <v>1</v>
      </c>
      <c r="D531" s="134"/>
      <c r="H531" s="140">
        <v>2</v>
      </c>
      <c r="J531" s="140"/>
      <c r="N531" s="138" t="s">
        <v>3621</v>
      </c>
    </row>
    <row r="532" spans="1:14" x14ac:dyDescent="0.3">
      <c r="B532" s="134">
        <v>1</v>
      </c>
      <c r="D532" s="134"/>
      <c r="H532" s="140">
        <v>2</v>
      </c>
      <c r="J532" s="140"/>
      <c r="N532" s="135" t="s">
        <v>3622</v>
      </c>
    </row>
    <row r="533" spans="1:14" ht="15.6" x14ac:dyDescent="0.3">
      <c r="B533" s="134">
        <v>1</v>
      </c>
      <c r="D533" s="134"/>
      <c r="H533" s="140">
        <v>2</v>
      </c>
      <c r="J533" s="140"/>
      <c r="N533" s="138" t="s">
        <v>2389</v>
      </c>
    </row>
    <row r="534" spans="1:14" x14ac:dyDescent="0.3">
      <c r="B534" s="134">
        <v>1</v>
      </c>
      <c r="D534" s="134"/>
      <c r="F534" s="134">
        <v>1</v>
      </c>
      <c r="H534" s="140" t="s">
        <v>3110</v>
      </c>
      <c r="N534" s="135" t="s">
        <v>3592</v>
      </c>
    </row>
    <row r="535" spans="1:14" ht="15.6" x14ac:dyDescent="0.3">
      <c r="B535" s="134">
        <v>1</v>
      </c>
      <c r="D535" s="134"/>
      <c r="F535" s="134">
        <v>1</v>
      </c>
      <c r="H535" s="134"/>
      <c r="N535" s="138" t="s">
        <v>317</v>
      </c>
    </row>
    <row r="536" spans="1:14" x14ac:dyDescent="0.3">
      <c r="A536">
        <v>535</v>
      </c>
      <c r="B536" s="134">
        <v>1</v>
      </c>
      <c r="D536" s="134"/>
      <c r="F536" s="134">
        <v>1</v>
      </c>
      <c r="H536" s="134"/>
      <c r="N536" s="132" t="s">
        <v>269</v>
      </c>
    </row>
    <row r="537" spans="1:14" x14ac:dyDescent="0.3">
      <c r="B537" s="134">
        <v>1</v>
      </c>
      <c r="D537" s="134"/>
      <c r="F537" s="134">
        <v>1</v>
      </c>
      <c r="H537" s="134"/>
      <c r="N537" s="135" t="s">
        <v>3593</v>
      </c>
    </row>
    <row r="538" spans="1:14" ht="27" x14ac:dyDescent="0.3">
      <c r="B538" s="134">
        <v>1</v>
      </c>
      <c r="D538" s="134"/>
      <c r="F538" s="134">
        <v>1</v>
      </c>
      <c r="H538" s="134"/>
      <c r="N538" s="136" t="s">
        <v>3594</v>
      </c>
    </row>
    <row r="539" spans="1:14" x14ac:dyDescent="0.3">
      <c r="B539" s="134">
        <v>1</v>
      </c>
      <c r="D539" s="134"/>
      <c r="H539" s="139" t="s">
        <v>3107</v>
      </c>
      <c r="J539" s="140"/>
      <c r="N539" s="136" t="s">
        <v>3595</v>
      </c>
    </row>
    <row r="540" spans="1:14" ht="15.6" x14ac:dyDescent="0.3">
      <c r="B540" s="134">
        <v>1</v>
      </c>
      <c r="D540" s="134"/>
      <c r="H540" s="140">
        <v>2</v>
      </c>
      <c r="J540" s="140"/>
      <c r="N540" s="138" t="s">
        <v>3621</v>
      </c>
    </row>
    <row r="541" spans="1:14" x14ac:dyDescent="0.3">
      <c r="A541">
        <v>540</v>
      </c>
      <c r="B541" s="134">
        <v>1</v>
      </c>
      <c r="D541" s="134"/>
      <c r="H541" s="140">
        <v>2</v>
      </c>
      <c r="J541" s="140"/>
      <c r="N541" s="135" t="s">
        <v>3597</v>
      </c>
    </row>
    <row r="542" spans="1:14" ht="30.6" x14ac:dyDescent="0.3">
      <c r="B542" s="134">
        <v>1</v>
      </c>
      <c r="D542" s="134"/>
      <c r="H542" s="140">
        <v>2</v>
      </c>
      <c r="J542" s="140"/>
      <c r="N542" s="138" t="s">
        <v>3623</v>
      </c>
    </row>
    <row r="543" spans="1:14" ht="15.6" x14ac:dyDescent="0.3">
      <c r="B543" s="134">
        <v>1</v>
      </c>
      <c r="D543" s="134"/>
      <c r="H543" s="140">
        <v>2</v>
      </c>
      <c r="J543" s="140"/>
      <c r="N543" s="138" t="s">
        <v>2389</v>
      </c>
    </row>
    <row r="544" spans="1:14" x14ac:dyDescent="0.3">
      <c r="B544" s="134">
        <v>1</v>
      </c>
      <c r="D544" s="134"/>
      <c r="F544" s="134">
        <v>1</v>
      </c>
      <c r="H544" s="140" t="s">
        <v>3110</v>
      </c>
      <c r="N544" s="135" t="s">
        <v>3599</v>
      </c>
    </row>
    <row r="545" spans="1:14" ht="15.6" x14ac:dyDescent="0.3">
      <c r="B545" s="134">
        <v>1</v>
      </c>
      <c r="D545" s="134"/>
      <c r="F545" s="134">
        <v>1</v>
      </c>
      <c r="H545" s="134"/>
      <c r="N545" s="138" t="s">
        <v>317</v>
      </c>
    </row>
    <row r="546" spans="1:14" x14ac:dyDescent="0.3">
      <c r="A546">
        <v>545</v>
      </c>
      <c r="B546" s="134">
        <v>1</v>
      </c>
      <c r="D546" s="134"/>
      <c r="F546" s="134">
        <v>1</v>
      </c>
      <c r="H546" s="134"/>
      <c r="N546" s="132" t="s">
        <v>269</v>
      </c>
    </row>
    <row r="547" spans="1:14" ht="15.6" x14ac:dyDescent="0.3">
      <c r="B547" s="134">
        <v>1</v>
      </c>
      <c r="D547" s="134"/>
      <c r="F547" s="134">
        <v>1</v>
      </c>
      <c r="H547" s="134"/>
      <c r="N547" s="138" t="s">
        <v>3600</v>
      </c>
    </row>
    <row r="548" spans="1:14" x14ac:dyDescent="0.3">
      <c r="B548" s="134">
        <v>1</v>
      </c>
      <c r="D548" s="134"/>
      <c r="F548" s="134">
        <v>1</v>
      </c>
      <c r="H548" s="134"/>
      <c r="N548" s="132" t="s">
        <v>267</v>
      </c>
    </row>
    <row r="549" spans="1:14" x14ac:dyDescent="0.3">
      <c r="B549" s="134">
        <v>1</v>
      </c>
      <c r="D549" s="134"/>
      <c r="H549" s="139" t="s">
        <v>3107</v>
      </c>
      <c r="J549" s="140"/>
      <c r="N549" s="136" t="s">
        <v>3624</v>
      </c>
    </row>
    <row r="550" spans="1:14" ht="15.6" x14ac:dyDescent="0.3">
      <c r="B550" s="134">
        <v>1</v>
      </c>
      <c r="D550" s="134"/>
      <c r="H550" s="140">
        <v>2</v>
      </c>
      <c r="J550" s="140"/>
      <c r="N550" s="138" t="s">
        <v>3621</v>
      </c>
    </row>
    <row r="551" spans="1:14" ht="27" x14ac:dyDescent="0.3">
      <c r="A551">
        <v>550</v>
      </c>
      <c r="B551" s="134">
        <v>1</v>
      </c>
      <c r="D551" s="134"/>
      <c r="H551" s="140">
        <v>2</v>
      </c>
      <c r="J551" s="140"/>
      <c r="N551" s="135" t="s">
        <v>3625</v>
      </c>
    </row>
    <row r="552" spans="1:14" x14ac:dyDescent="0.3">
      <c r="B552" s="134">
        <v>1</v>
      </c>
      <c r="D552" s="134"/>
      <c r="H552" s="140">
        <v>2</v>
      </c>
      <c r="J552" s="140"/>
      <c r="N552" s="135" t="s">
        <v>3626</v>
      </c>
    </row>
    <row r="553" spans="1:14" ht="27" x14ac:dyDescent="0.3">
      <c r="B553" s="134">
        <v>1</v>
      </c>
      <c r="D553" s="134"/>
      <c r="H553" s="140">
        <v>2</v>
      </c>
      <c r="J553" s="140"/>
      <c r="N553" s="135" t="s">
        <v>3627</v>
      </c>
    </row>
    <row r="554" spans="1:14" ht="45.6" x14ac:dyDescent="0.3">
      <c r="B554" s="134">
        <v>1</v>
      </c>
      <c r="D554" s="134"/>
      <c r="H554" s="140">
        <v>2</v>
      </c>
      <c r="J554" s="140"/>
      <c r="N554" s="138" t="s">
        <v>3606</v>
      </c>
    </row>
    <row r="555" spans="1:14" ht="30.6" x14ac:dyDescent="0.3">
      <c r="B555" s="134">
        <v>1</v>
      </c>
      <c r="D555" s="134"/>
      <c r="H555" s="140">
        <v>2</v>
      </c>
      <c r="J555" s="140"/>
      <c r="N555" s="138" t="s">
        <v>3628</v>
      </c>
    </row>
    <row r="556" spans="1:14" ht="30.6" x14ac:dyDescent="0.3">
      <c r="A556">
        <v>555</v>
      </c>
      <c r="B556" s="134">
        <v>1</v>
      </c>
      <c r="D556" s="134"/>
      <c r="H556" s="140">
        <v>2</v>
      </c>
      <c r="J556" s="140"/>
      <c r="N556" s="138" t="s">
        <v>3629</v>
      </c>
    </row>
    <row r="557" spans="1:14" ht="15.6" x14ac:dyDescent="0.3">
      <c r="B557" s="134">
        <v>1</v>
      </c>
      <c r="D557" s="134"/>
      <c r="H557" s="140">
        <v>2</v>
      </c>
      <c r="J557" s="140"/>
      <c r="N557" s="138" t="s">
        <v>2389</v>
      </c>
    </row>
    <row r="558" spans="1:14" ht="30.6" x14ac:dyDescent="0.3">
      <c r="B558" s="134">
        <v>1</v>
      </c>
      <c r="D558" s="134"/>
      <c r="F558" s="134">
        <v>1</v>
      </c>
      <c r="H558" s="140" t="s">
        <v>3110</v>
      </c>
      <c r="N558" s="138" t="s">
        <v>3630</v>
      </c>
    </row>
    <row r="559" spans="1:14" ht="15.6" x14ac:dyDescent="0.3">
      <c r="B559" s="134">
        <v>1</v>
      </c>
      <c r="D559" s="134"/>
      <c r="F559" s="134">
        <v>1</v>
      </c>
      <c r="H559" s="134"/>
      <c r="N559" s="138" t="s">
        <v>317</v>
      </c>
    </row>
    <row r="560" spans="1:14" x14ac:dyDescent="0.3">
      <c r="B560" s="134">
        <v>1</v>
      </c>
      <c r="D560" s="134"/>
      <c r="F560" s="134">
        <v>1</v>
      </c>
      <c r="H560" s="134"/>
      <c r="N560" s="132" t="s">
        <v>267</v>
      </c>
    </row>
    <row r="561" spans="1:14" x14ac:dyDescent="0.3">
      <c r="A561">
        <v>560</v>
      </c>
      <c r="B561" s="134">
        <v>1</v>
      </c>
      <c r="D561" s="134"/>
      <c r="F561" s="134">
        <v>1</v>
      </c>
      <c r="H561" s="134"/>
      <c r="N561" s="135" t="s">
        <v>3631</v>
      </c>
    </row>
    <row r="562" spans="1:14" x14ac:dyDescent="0.3">
      <c r="B562" s="134">
        <v>1</v>
      </c>
      <c r="D562" s="134"/>
      <c r="F562" s="134">
        <v>1</v>
      </c>
      <c r="H562" s="134"/>
      <c r="N562" s="132" t="s">
        <v>266</v>
      </c>
    </row>
    <row r="563" spans="1:14" ht="15.6" x14ac:dyDescent="0.3">
      <c r="B563" s="134">
        <v>1</v>
      </c>
      <c r="D563" s="134"/>
      <c r="F563" s="140" t="s">
        <v>3110</v>
      </c>
      <c r="N563" s="138" t="s">
        <v>2321</v>
      </c>
    </row>
    <row r="564" spans="1:14" ht="15.6" x14ac:dyDescent="0.3">
      <c r="B564" s="134">
        <v>1</v>
      </c>
      <c r="D564" s="134"/>
      <c r="N564" s="138" t="s">
        <v>319</v>
      </c>
    </row>
    <row r="565" spans="1:14" x14ac:dyDescent="0.3">
      <c r="B565" s="134">
        <v>1</v>
      </c>
      <c r="D565" s="134"/>
      <c r="N565" s="132" t="s">
        <v>266</v>
      </c>
    </row>
    <row r="566" spans="1:14" x14ac:dyDescent="0.3">
      <c r="A566">
        <v>565</v>
      </c>
      <c r="B566" s="140" t="s">
        <v>3110</v>
      </c>
      <c r="D566" s="134"/>
      <c r="N566" s="132" t="s">
        <v>266</v>
      </c>
    </row>
    <row r="567" spans="1:14" ht="15.6" x14ac:dyDescent="0.3">
      <c r="B567" s="134"/>
      <c r="D567" s="134"/>
      <c r="N567" s="138" t="s">
        <v>2329</v>
      </c>
    </row>
    <row r="568" spans="1:14" x14ac:dyDescent="0.3">
      <c r="B568" s="134"/>
      <c r="D568" s="134"/>
      <c r="N568" s="132" t="s">
        <v>266</v>
      </c>
    </row>
    <row r="569" spans="1:14" x14ac:dyDescent="0.3">
      <c r="B569" s="134"/>
      <c r="D569" s="134"/>
      <c r="N569" s="136" t="s">
        <v>3721</v>
      </c>
    </row>
    <row r="570" spans="1:14" x14ac:dyDescent="0.3">
      <c r="B570" s="134"/>
      <c r="D570" s="134"/>
      <c r="N570" s="135" t="s">
        <v>3722</v>
      </c>
    </row>
    <row r="571" spans="1:14" x14ac:dyDescent="0.3">
      <c r="A571">
        <v>570</v>
      </c>
      <c r="B571" s="134"/>
      <c r="D571" s="134"/>
      <c r="N571" s="132" t="s">
        <v>266</v>
      </c>
    </row>
    <row r="572" spans="1:14" x14ac:dyDescent="0.3">
      <c r="B572" s="134"/>
      <c r="D572" s="134"/>
      <c r="N572" s="135" t="s">
        <v>3355</v>
      </c>
    </row>
    <row r="573" spans="1:14" x14ac:dyDescent="0.3">
      <c r="B573" s="134"/>
      <c r="D573" s="134"/>
      <c r="N573" s="136" t="s">
        <v>3632</v>
      </c>
    </row>
    <row r="574" spans="1:14" x14ac:dyDescent="0.3">
      <c r="B574" s="134"/>
      <c r="D574" s="134"/>
      <c r="N574" s="135" t="s">
        <v>3361</v>
      </c>
    </row>
    <row r="575" spans="1:14" x14ac:dyDescent="0.3">
      <c r="B575" s="134"/>
      <c r="D575" s="134"/>
      <c r="N575" s="132" t="s">
        <v>266</v>
      </c>
    </row>
    <row r="576" spans="1:14" x14ac:dyDescent="0.3">
      <c r="A576">
        <v>575</v>
      </c>
      <c r="B576" s="134"/>
      <c r="D576" s="134"/>
      <c r="N576" s="135" t="s">
        <v>3752</v>
      </c>
    </row>
    <row r="577" spans="1:14" x14ac:dyDescent="0.3">
      <c r="B577" s="134"/>
      <c r="D577" s="134"/>
      <c r="N577" s="135" t="s">
        <v>3633</v>
      </c>
    </row>
    <row r="578" spans="1:14" x14ac:dyDescent="0.3">
      <c r="B578" s="134"/>
      <c r="D578" s="134"/>
      <c r="N578" s="135" t="s">
        <v>3740</v>
      </c>
    </row>
    <row r="579" spans="1:14" x14ac:dyDescent="0.3">
      <c r="B579" s="134"/>
      <c r="D579" s="134"/>
      <c r="N579" s="132" t="s">
        <v>266</v>
      </c>
    </row>
    <row r="580" spans="1:14" x14ac:dyDescent="0.3">
      <c r="B580" s="134"/>
      <c r="D580" s="134"/>
      <c r="N580" s="136" t="s">
        <v>3634</v>
      </c>
    </row>
    <row r="581" spans="1:14" x14ac:dyDescent="0.3">
      <c r="A581">
        <v>580</v>
      </c>
      <c r="B581" s="134"/>
      <c r="D581" s="134"/>
      <c r="N581" s="132" t="s">
        <v>266</v>
      </c>
    </row>
    <row r="582" spans="1:14" ht="16.8" x14ac:dyDescent="0.3">
      <c r="B582" s="134"/>
      <c r="D582" s="134"/>
      <c r="N582" s="141" t="s">
        <v>316</v>
      </c>
    </row>
    <row r="583" spans="1:14" x14ac:dyDescent="0.3">
      <c r="B583" s="134"/>
      <c r="D583" s="134"/>
      <c r="N583" s="132" t="s">
        <v>266</v>
      </c>
    </row>
    <row r="584" spans="1:14" ht="15.6" x14ac:dyDescent="0.3">
      <c r="B584" s="134"/>
      <c r="D584" s="134"/>
      <c r="N584" s="137" t="s">
        <v>3635</v>
      </c>
    </row>
    <row r="585" spans="1:14" x14ac:dyDescent="0.3">
      <c r="B585" s="134"/>
      <c r="D585" s="134"/>
      <c r="N585" s="132" t="s">
        <v>266</v>
      </c>
    </row>
    <row r="586" spans="1:14" x14ac:dyDescent="0.3">
      <c r="A586">
        <v>585</v>
      </c>
      <c r="B586" s="134"/>
      <c r="D586" s="134"/>
      <c r="N586" s="135" t="s">
        <v>3636</v>
      </c>
    </row>
    <row r="587" spans="1:14" x14ac:dyDescent="0.3">
      <c r="B587" s="134"/>
      <c r="D587" s="134"/>
      <c r="N587" s="135" t="s">
        <v>313</v>
      </c>
    </row>
    <row r="588" spans="1:14" x14ac:dyDescent="0.3">
      <c r="B588" s="134"/>
      <c r="D588" s="134"/>
      <c r="N588" s="135" t="s">
        <v>3637</v>
      </c>
    </row>
    <row r="589" spans="1:14" x14ac:dyDescent="0.3">
      <c r="B589" s="134"/>
      <c r="D589" s="134"/>
      <c r="N589" s="135" t="s">
        <v>3492</v>
      </c>
    </row>
    <row r="590" spans="1:14" x14ac:dyDescent="0.3">
      <c r="B590" s="134"/>
      <c r="D590" s="134"/>
      <c r="N590" s="135" t="s">
        <v>3638</v>
      </c>
    </row>
    <row r="591" spans="1:14" x14ac:dyDescent="0.3">
      <c r="A591">
        <v>590</v>
      </c>
      <c r="B591" s="134"/>
      <c r="D591" s="134"/>
      <c r="N591" s="135" t="s">
        <v>3639</v>
      </c>
    </row>
    <row r="592" spans="1:14" x14ac:dyDescent="0.3">
      <c r="B592" s="134"/>
      <c r="D592" s="134"/>
      <c r="N592" s="135" t="s">
        <v>3640</v>
      </c>
    </row>
    <row r="593" spans="1:14" x14ac:dyDescent="0.3">
      <c r="B593" s="134"/>
      <c r="D593" s="134"/>
      <c r="N593" s="135" t="s">
        <v>3641</v>
      </c>
    </row>
    <row r="594" spans="1:14" x14ac:dyDescent="0.3">
      <c r="B594" s="134"/>
      <c r="D594" s="134"/>
      <c r="N594" s="135" t="s">
        <v>3642</v>
      </c>
    </row>
    <row r="595" spans="1:14" x14ac:dyDescent="0.3">
      <c r="B595" s="134"/>
      <c r="D595" s="134"/>
      <c r="N595" s="135" t="s">
        <v>3643</v>
      </c>
    </row>
    <row r="596" spans="1:14" x14ac:dyDescent="0.3">
      <c r="A596">
        <v>595</v>
      </c>
      <c r="B596" s="134"/>
      <c r="D596" s="134"/>
      <c r="N596" s="135" t="s">
        <v>3644</v>
      </c>
    </row>
    <row r="597" spans="1:14" x14ac:dyDescent="0.3">
      <c r="B597" s="134"/>
      <c r="D597" s="134"/>
      <c r="N597" s="135" t="s">
        <v>3348</v>
      </c>
    </row>
    <row r="598" spans="1:14" x14ac:dyDescent="0.3">
      <c r="B598" s="134"/>
      <c r="D598" s="134"/>
      <c r="N598" s="135" t="s">
        <v>3645</v>
      </c>
    </row>
    <row r="599" spans="1:14" x14ac:dyDescent="0.3">
      <c r="B599" s="134"/>
      <c r="D599" s="134"/>
      <c r="N599" s="132" t="s">
        <v>266</v>
      </c>
    </row>
    <row r="600" spans="1:14" x14ac:dyDescent="0.3">
      <c r="B600" s="134"/>
      <c r="D600" s="134"/>
      <c r="N600" s="132" t="s">
        <v>266</v>
      </c>
    </row>
    <row r="601" spans="1:14" x14ac:dyDescent="0.3">
      <c r="A601">
        <v>600</v>
      </c>
      <c r="B601" s="134"/>
      <c r="D601" s="134"/>
      <c r="N601" s="135" t="s">
        <v>3646</v>
      </c>
    </row>
    <row r="602" spans="1:14" x14ac:dyDescent="0.3">
      <c r="B602" s="134"/>
      <c r="D602" s="134"/>
      <c r="N602" s="135" t="s">
        <v>3351</v>
      </c>
    </row>
    <row r="603" spans="1:14" x14ac:dyDescent="0.3">
      <c r="B603" s="134"/>
      <c r="D603" s="134"/>
      <c r="N603" s="135" t="s">
        <v>3647</v>
      </c>
    </row>
    <row r="604" spans="1:14" x14ac:dyDescent="0.3">
      <c r="B604" s="134"/>
      <c r="D604" s="134"/>
      <c r="N604" s="132" t="s">
        <v>266</v>
      </c>
    </row>
    <row r="605" spans="1:14" x14ac:dyDescent="0.3">
      <c r="B605" s="134"/>
      <c r="D605" s="134"/>
      <c r="N605" s="132" t="s">
        <v>266</v>
      </c>
    </row>
    <row r="606" spans="1:14" x14ac:dyDescent="0.3">
      <c r="A606">
        <v>605</v>
      </c>
      <c r="B606" s="139" t="s">
        <v>3107</v>
      </c>
      <c r="D606" s="134"/>
      <c r="N606" s="135" t="s">
        <v>3648</v>
      </c>
    </row>
    <row r="607" spans="1:14" ht="15.6" x14ac:dyDescent="0.3">
      <c r="B607" s="134">
        <v>1</v>
      </c>
      <c r="D607" s="134"/>
      <c r="F607" s="139" t="s">
        <v>3107</v>
      </c>
      <c r="H607" s="134"/>
      <c r="N607" s="138" t="s">
        <v>3649</v>
      </c>
    </row>
    <row r="608" spans="1:14" ht="15.6" x14ac:dyDescent="0.3">
      <c r="B608" s="134">
        <v>1</v>
      </c>
      <c r="D608" s="134"/>
      <c r="F608" s="134">
        <v>1</v>
      </c>
      <c r="H608" s="134"/>
      <c r="N608" s="138" t="s">
        <v>3650</v>
      </c>
    </row>
    <row r="609" spans="1:14" x14ac:dyDescent="0.3">
      <c r="B609" s="134">
        <v>1</v>
      </c>
      <c r="D609" s="134"/>
      <c r="F609" s="134">
        <v>1</v>
      </c>
      <c r="H609" s="134"/>
      <c r="N609" s="135" t="s">
        <v>2514</v>
      </c>
    </row>
    <row r="610" spans="1:14" ht="15.6" x14ac:dyDescent="0.3">
      <c r="B610" s="134">
        <v>1</v>
      </c>
      <c r="D610" s="134"/>
      <c r="F610" s="134">
        <v>1</v>
      </c>
      <c r="H610" s="134"/>
      <c r="N610" s="138" t="s">
        <v>2387</v>
      </c>
    </row>
    <row r="611" spans="1:14" x14ac:dyDescent="0.3">
      <c r="A611">
        <v>610</v>
      </c>
      <c r="B611" s="134">
        <v>1</v>
      </c>
      <c r="D611" s="134"/>
      <c r="F611" s="140" t="s">
        <v>3110</v>
      </c>
      <c r="N611" s="135" t="s">
        <v>3651</v>
      </c>
    </row>
    <row r="612" spans="1:14" ht="15.6" x14ac:dyDescent="0.3">
      <c r="B612" s="134">
        <v>1</v>
      </c>
      <c r="D612" s="134"/>
      <c r="N612" s="138" t="s">
        <v>318</v>
      </c>
    </row>
    <row r="613" spans="1:14" x14ac:dyDescent="0.3">
      <c r="B613" s="140" t="s">
        <v>3110</v>
      </c>
      <c r="D613" s="134"/>
      <c r="N613" s="132" t="s">
        <v>266</v>
      </c>
    </row>
    <row r="614" spans="1:14" ht="15.6" x14ac:dyDescent="0.3">
      <c r="B614" s="134"/>
      <c r="D614" s="134"/>
      <c r="N614" s="138" t="s">
        <v>3652</v>
      </c>
    </row>
    <row r="615" spans="1:14" x14ac:dyDescent="0.3">
      <c r="B615" s="134"/>
      <c r="D615" s="134"/>
      <c r="N615" s="132" t="s">
        <v>266</v>
      </c>
    </row>
    <row r="616" spans="1:14" x14ac:dyDescent="0.3">
      <c r="A616">
        <v>615</v>
      </c>
      <c r="B616" s="134"/>
      <c r="D616" s="134"/>
      <c r="N616" s="135" t="s">
        <v>3653</v>
      </c>
    </row>
    <row r="617" spans="1:14" x14ac:dyDescent="0.3">
      <c r="B617" s="134"/>
      <c r="D617" s="134"/>
      <c r="N617" s="132" t="s">
        <v>266</v>
      </c>
    </row>
    <row r="618" spans="1:14" x14ac:dyDescent="0.3">
      <c r="B618" s="134"/>
      <c r="D618" s="134"/>
      <c r="N618" s="132" t="s">
        <v>269</v>
      </c>
    </row>
    <row r="619" spans="1:14" x14ac:dyDescent="0.3">
      <c r="B619" s="134"/>
      <c r="D619" s="134"/>
      <c r="N619" s="135" t="s">
        <v>3654</v>
      </c>
    </row>
    <row r="620" spans="1:14" x14ac:dyDescent="0.3">
      <c r="B620" s="134"/>
      <c r="D620" s="134"/>
      <c r="N620" s="132" t="s">
        <v>266</v>
      </c>
    </row>
    <row r="621" spans="1:14" x14ac:dyDescent="0.3">
      <c r="A621">
        <v>620</v>
      </c>
      <c r="B621" s="134"/>
      <c r="D621" s="134"/>
      <c r="N621" s="135" t="s">
        <v>3655</v>
      </c>
    </row>
    <row r="622" spans="1:14" x14ac:dyDescent="0.3">
      <c r="B622" s="134"/>
      <c r="D622" s="134"/>
      <c r="F622" s="139" t="s">
        <v>3107</v>
      </c>
      <c r="H622" s="134"/>
      <c r="N622" s="132" t="s">
        <v>266</v>
      </c>
    </row>
    <row r="623" spans="1:14" ht="15.6" x14ac:dyDescent="0.3">
      <c r="B623" s="134"/>
      <c r="D623" s="134"/>
      <c r="F623" s="134">
        <v>1</v>
      </c>
      <c r="H623" s="134"/>
      <c r="N623" s="138" t="s">
        <v>3656</v>
      </c>
    </row>
    <row r="624" spans="1:14" x14ac:dyDescent="0.3">
      <c r="B624" s="134"/>
      <c r="D624" s="134"/>
      <c r="F624" s="134">
        <v>1</v>
      </c>
      <c r="H624" s="134"/>
      <c r="N624" s="136" t="s">
        <v>3657</v>
      </c>
    </row>
    <row r="625" spans="1:14" x14ac:dyDescent="0.3">
      <c r="B625" s="134"/>
      <c r="D625" s="134"/>
      <c r="F625" s="134">
        <v>1</v>
      </c>
      <c r="H625" s="134"/>
      <c r="N625" s="135" t="s">
        <v>3658</v>
      </c>
    </row>
    <row r="626" spans="1:14" ht="27" x14ac:dyDescent="0.3">
      <c r="A626">
        <v>625</v>
      </c>
      <c r="B626" s="134"/>
      <c r="D626" s="134"/>
      <c r="F626" s="134">
        <v>1</v>
      </c>
      <c r="H626" s="134"/>
      <c r="N626" s="135" t="s">
        <v>3659</v>
      </c>
    </row>
    <row r="627" spans="1:14" x14ac:dyDescent="0.3">
      <c r="B627" s="134"/>
      <c r="D627" s="134"/>
      <c r="F627" s="134">
        <v>1</v>
      </c>
      <c r="H627" s="134"/>
      <c r="N627" s="132" t="s">
        <v>267</v>
      </c>
    </row>
    <row r="628" spans="1:14" ht="15.6" x14ac:dyDescent="0.3">
      <c r="B628" s="134"/>
      <c r="D628" s="134"/>
      <c r="F628" s="140" t="s">
        <v>3110</v>
      </c>
      <c r="N628" s="138" t="s">
        <v>2321</v>
      </c>
    </row>
    <row r="629" spans="1:14" ht="15.6" x14ac:dyDescent="0.3">
      <c r="B629" s="134"/>
      <c r="D629" s="134"/>
      <c r="N629" s="138" t="s">
        <v>319</v>
      </c>
    </row>
    <row r="630" spans="1:14" x14ac:dyDescent="0.3">
      <c r="B630" s="134"/>
      <c r="D630" s="134"/>
      <c r="N630" s="132" t="s">
        <v>266</v>
      </c>
    </row>
    <row r="631" spans="1:14" x14ac:dyDescent="0.3">
      <c r="A631">
        <v>630</v>
      </c>
      <c r="B631" s="134"/>
      <c r="D631" s="134"/>
      <c r="N631" s="132" t="s">
        <v>266</v>
      </c>
    </row>
    <row r="632" spans="1:14" x14ac:dyDescent="0.3">
      <c r="B632" s="134"/>
      <c r="D632" s="134"/>
      <c r="N632" s="132" t="s">
        <v>266</v>
      </c>
    </row>
    <row r="633" spans="1:14" x14ac:dyDescent="0.3">
      <c r="B633" s="134"/>
      <c r="D633" s="134"/>
      <c r="N633" s="135" t="s">
        <v>3660</v>
      </c>
    </row>
    <row r="634" spans="1:14" x14ac:dyDescent="0.3">
      <c r="B634" s="134"/>
      <c r="D634" s="134"/>
      <c r="N634" s="132" t="s">
        <v>266</v>
      </c>
    </row>
    <row r="635" spans="1:14" x14ac:dyDescent="0.3">
      <c r="B635" s="134"/>
      <c r="D635" s="134"/>
      <c r="N635" s="136" t="s">
        <v>3661</v>
      </c>
    </row>
    <row r="636" spans="1:14" x14ac:dyDescent="0.3">
      <c r="A636">
        <v>635</v>
      </c>
      <c r="B636" s="134"/>
      <c r="D636" s="134"/>
      <c r="N636" s="136" t="s">
        <v>3662</v>
      </c>
    </row>
    <row r="637" spans="1:14" x14ac:dyDescent="0.3">
      <c r="B637" s="134"/>
      <c r="D637" s="134"/>
      <c r="N637" s="132" t="s">
        <v>266</v>
      </c>
    </row>
    <row r="638" spans="1:14" x14ac:dyDescent="0.3">
      <c r="B638" s="134"/>
      <c r="D638" s="134"/>
      <c r="N638" s="135" t="s">
        <v>3663</v>
      </c>
    </row>
    <row r="639" spans="1:14" x14ac:dyDescent="0.3">
      <c r="B639" s="134"/>
      <c r="D639" s="134"/>
      <c r="F639" s="139" t="s">
        <v>3107</v>
      </c>
      <c r="H639" s="134"/>
      <c r="N639" s="132" t="s">
        <v>266</v>
      </c>
    </row>
    <row r="640" spans="1:14" ht="15.6" x14ac:dyDescent="0.3">
      <c r="B640" s="134"/>
      <c r="D640" s="134"/>
      <c r="F640" s="134">
        <v>1</v>
      </c>
      <c r="H640" s="134"/>
      <c r="N640" s="138" t="s">
        <v>3664</v>
      </c>
    </row>
    <row r="641" spans="1:14" x14ac:dyDescent="0.3">
      <c r="A641">
        <v>640</v>
      </c>
      <c r="B641" s="134"/>
      <c r="D641" s="134"/>
      <c r="F641" s="134">
        <v>1</v>
      </c>
      <c r="H641" s="134"/>
      <c r="N641" s="135" t="s">
        <v>3665</v>
      </c>
    </row>
    <row r="642" spans="1:14" ht="15.6" x14ac:dyDescent="0.3">
      <c r="B642" s="134"/>
      <c r="D642" s="134"/>
      <c r="F642" s="134">
        <v>1</v>
      </c>
      <c r="H642" s="134"/>
      <c r="N642" s="138" t="s">
        <v>2387</v>
      </c>
    </row>
    <row r="643" spans="1:14" x14ac:dyDescent="0.3">
      <c r="B643" s="134"/>
      <c r="D643" s="134"/>
      <c r="F643" s="140" t="s">
        <v>3110</v>
      </c>
      <c r="N643" s="135" t="s">
        <v>3666</v>
      </c>
    </row>
    <row r="644" spans="1:14" ht="15.6" x14ac:dyDescent="0.3">
      <c r="B644" s="134"/>
      <c r="D644" s="134"/>
      <c r="N644" s="138" t="s">
        <v>318</v>
      </c>
    </row>
    <row r="645" spans="1:14" x14ac:dyDescent="0.3">
      <c r="B645" s="134"/>
      <c r="D645" s="134"/>
      <c r="N645" s="132" t="s">
        <v>267</v>
      </c>
    </row>
    <row r="646" spans="1:14" x14ac:dyDescent="0.3">
      <c r="A646">
        <v>645</v>
      </c>
      <c r="B646" s="134"/>
      <c r="D646" s="134"/>
      <c r="N646" s="132" t="s">
        <v>3420</v>
      </c>
    </row>
    <row r="647" spans="1:14" x14ac:dyDescent="0.3">
      <c r="B647" s="134"/>
      <c r="D647" s="134"/>
      <c r="N647" s="132" t="s">
        <v>267</v>
      </c>
    </row>
    <row r="648" spans="1:14" ht="27" x14ac:dyDescent="0.3">
      <c r="B648" s="134"/>
      <c r="D648" s="134"/>
      <c r="N648" s="135" t="s">
        <v>3667</v>
      </c>
    </row>
    <row r="649" spans="1:14" x14ac:dyDescent="0.3">
      <c r="B649" s="134"/>
      <c r="D649" s="134"/>
      <c r="N649" s="132" t="s">
        <v>312</v>
      </c>
    </row>
    <row r="650" spans="1:14" x14ac:dyDescent="0.3">
      <c r="B650" s="134"/>
      <c r="D650" s="134"/>
      <c r="N650" s="135" t="s">
        <v>3668</v>
      </c>
    </row>
    <row r="651" spans="1:14" x14ac:dyDescent="0.3">
      <c r="A651">
        <v>650</v>
      </c>
      <c r="B651" s="134"/>
      <c r="D651" s="134"/>
      <c r="N651" s="132" t="s">
        <v>2355</v>
      </c>
    </row>
    <row r="652" spans="1:14" x14ac:dyDescent="0.3">
      <c r="B652" s="134"/>
      <c r="D652" s="134"/>
      <c r="N652" s="136" t="s">
        <v>3669</v>
      </c>
    </row>
    <row r="653" spans="1:14" x14ac:dyDescent="0.3">
      <c r="B653" s="134"/>
      <c r="D653" s="134"/>
      <c r="N653" s="132" t="s">
        <v>269</v>
      </c>
    </row>
    <row r="654" spans="1:14" x14ac:dyDescent="0.3">
      <c r="B654" s="134"/>
      <c r="D654" s="134"/>
      <c r="N654" s="144" t="s">
        <v>3670</v>
      </c>
    </row>
    <row r="655" spans="1:14" x14ac:dyDescent="0.3">
      <c r="B655" s="134"/>
      <c r="D655" s="134"/>
      <c r="N655" s="144" t="s">
        <v>3671</v>
      </c>
    </row>
    <row r="656" spans="1:14" x14ac:dyDescent="0.3">
      <c r="A656">
        <v>655</v>
      </c>
      <c r="B656" s="134"/>
      <c r="D656" s="134"/>
      <c r="N656" s="144" t="s">
        <v>3515</v>
      </c>
    </row>
    <row r="657" spans="1:14" x14ac:dyDescent="0.3">
      <c r="B657" s="134"/>
      <c r="D657" s="134"/>
      <c r="N657" s="144" t="s">
        <v>3672</v>
      </c>
    </row>
    <row r="658" spans="1:14" x14ac:dyDescent="0.3">
      <c r="B658" s="134"/>
      <c r="D658" s="134"/>
      <c r="N658" s="144" t="s">
        <v>3673</v>
      </c>
    </row>
    <row r="659" spans="1:14" x14ac:dyDescent="0.3">
      <c r="B659" s="134"/>
      <c r="D659" s="134"/>
      <c r="N659" s="132" t="s">
        <v>269</v>
      </c>
    </row>
    <row r="660" spans="1:14" x14ac:dyDescent="0.3">
      <c r="B660" s="134"/>
      <c r="D660" s="134"/>
      <c r="F660" s="139" t="s">
        <v>3107</v>
      </c>
      <c r="H660" s="134"/>
      <c r="N660" s="135" t="s">
        <v>3674</v>
      </c>
    </row>
    <row r="661" spans="1:14" ht="15.6" x14ac:dyDescent="0.3">
      <c r="A661">
        <v>660</v>
      </c>
      <c r="B661" s="134"/>
      <c r="D661" s="134"/>
      <c r="F661" s="134">
        <v>1</v>
      </c>
      <c r="H661" s="134"/>
      <c r="N661" s="138" t="s">
        <v>3675</v>
      </c>
    </row>
    <row r="662" spans="1:14" x14ac:dyDescent="0.3">
      <c r="B662" s="134"/>
      <c r="D662" s="134"/>
      <c r="F662" s="134">
        <v>1</v>
      </c>
      <c r="H662" s="134"/>
      <c r="N662" s="135" t="s">
        <v>3676</v>
      </c>
    </row>
    <row r="663" spans="1:14" ht="15.6" x14ac:dyDescent="0.3">
      <c r="B663" s="134"/>
      <c r="D663" s="134"/>
      <c r="F663" s="134">
        <v>1</v>
      </c>
      <c r="H663" s="134"/>
      <c r="N663" s="138" t="s">
        <v>3677</v>
      </c>
    </row>
    <row r="664" spans="1:14" x14ac:dyDescent="0.3">
      <c r="B664" s="134"/>
      <c r="D664" s="134"/>
      <c r="H664" s="139" t="s">
        <v>3107</v>
      </c>
      <c r="J664" s="140"/>
      <c r="N664" s="135" t="s">
        <v>3678</v>
      </c>
    </row>
    <row r="665" spans="1:14" ht="15.6" x14ac:dyDescent="0.3">
      <c r="B665" s="134"/>
      <c r="D665" s="134"/>
      <c r="H665" s="140">
        <v>2</v>
      </c>
      <c r="J665" s="140"/>
      <c r="N665" s="138" t="s">
        <v>3679</v>
      </c>
    </row>
    <row r="666" spans="1:14" x14ac:dyDescent="0.3">
      <c r="A666">
        <v>665</v>
      </c>
      <c r="B666" s="134"/>
      <c r="D666" s="134"/>
      <c r="H666" s="140">
        <v>2</v>
      </c>
      <c r="J666" s="140"/>
      <c r="N666" s="135" t="s">
        <v>3680</v>
      </c>
    </row>
    <row r="667" spans="1:14" ht="27" x14ac:dyDescent="0.3">
      <c r="B667" s="134"/>
      <c r="D667" s="134"/>
      <c r="H667" s="140">
        <v>2</v>
      </c>
      <c r="J667" s="140"/>
      <c r="N667" s="135" t="s">
        <v>3681</v>
      </c>
    </row>
    <row r="668" spans="1:14" ht="15.6" x14ac:dyDescent="0.3">
      <c r="B668" s="134"/>
      <c r="D668" s="134"/>
      <c r="H668" s="140">
        <v>2</v>
      </c>
      <c r="J668" s="140"/>
      <c r="N668" s="138" t="s">
        <v>3682</v>
      </c>
    </row>
    <row r="669" spans="1:14" x14ac:dyDescent="0.3">
      <c r="B669" s="134"/>
      <c r="D669" s="134"/>
      <c r="H669" s="140">
        <v>2</v>
      </c>
      <c r="J669" s="140"/>
      <c r="N669" s="135" t="s">
        <v>3683</v>
      </c>
    </row>
    <row r="670" spans="1:14" x14ac:dyDescent="0.3">
      <c r="B670" s="134"/>
      <c r="D670" s="134"/>
      <c r="F670" s="134">
        <v>1</v>
      </c>
      <c r="H670" s="140" t="s">
        <v>3110</v>
      </c>
      <c r="N670" s="135" t="s">
        <v>3684</v>
      </c>
    </row>
    <row r="671" spans="1:14" ht="15.6" x14ac:dyDescent="0.3">
      <c r="A671">
        <v>670</v>
      </c>
      <c r="B671" s="134"/>
      <c r="D671" s="134"/>
      <c r="F671" s="134">
        <v>1</v>
      </c>
      <c r="H671" s="134"/>
      <c r="N671" s="138" t="s">
        <v>3685</v>
      </c>
    </row>
    <row r="672" spans="1:14" x14ac:dyDescent="0.3">
      <c r="B672" s="134"/>
      <c r="D672" s="134"/>
      <c r="F672" s="140" t="s">
        <v>3110</v>
      </c>
      <c r="N672" s="135" t="s">
        <v>3733</v>
      </c>
    </row>
    <row r="673" spans="1:14" ht="15.6" x14ac:dyDescent="0.3">
      <c r="B673" s="134"/>
      <c r="D673" s="134"/>
      <c r="N673" s="138" t="s">
        <v>3686</v>
      </c>
    </row>
    <row r="674" spans="1:14" x14ac:dyDescent="0.3">
      <c r="B674" s="134"/>
      <c r="D674" s="134"/>
      <c r="N674" s="136" t="s">
        <v>3687</v>
      </c>
    </row>
    <row r="675" spans="1:14" x14ac:dyDescent="0.3">
      <c r="B675" s="134"/>
      <c r="D675" s="134"/>
      <c r="N675" s="136" t="s">
        <v>3688</v>
      </c>
    </row>
    <row r="676" spans="1:14" x14ac:dyDescent="0.3">
      <c r="A676">
        <v>675</v>
      </c>
      <c r="B676" s="134"/>
      <c r="D676" s="134"/>
      <c r="N676" s="132" t="s">
        <v>269</v>
      </c>
    </row>
    <row r="677" spans="1:14" x14ac:dyDescent="0.3">
      <c r="B677" s="134"/>
      <c r="D677" s="134"/>
      <c r="N677" s="136" t="s">
        <v>3689</v>
      </c>
    </row>
    <row r="678" spans="1:14" x14ac:dyDescent="0.3">
      <c r="B678" s="134"/>
      <c r="D678" s="134"/>
      <c r="N678" s="132" t="s">
        <v>269</v>
      </c>
    </row>
    <row r="679" spans="1:14" ht="15.6" x14ac:dyDescent="0.3">
      <c r="B679" s="134"/>
      <c r="D679" s="134"/>
      <c r="N679" s="138" t="s">
        <v>3319</v>
      </c>
    </row>
    <row r="680" spans="1:14" x14ac:dyDescent="0.3">
      <c r="B680" s="134"/>
      <c r="D680" s="134"/>
      <c r="N680" s="132" t="s">
        <v>266</v>
      </c>
    </row>
    <row r="681" spans="1:14" x14ac:dyDescent="0.3">
      <c r="A681">
        <v>680</v>
      </c>
      <c r="B681" s="134"/>
      <c r="D681" s="134"/>
      <c r="N681" s="132" t="s">
        <v>266</v>
      </c>
    </row>
    <row r="682" spans="1:14" ht="16.8" x14ac:dyDescent="0.3">
      <c r="B682" s="134"/>
      <c r="D682" s="134"/>
      <c r="N682" s="141" t="s">
        <v>316</v>
      </c>
    </row>
    <row r="683" spans="1:14" x14ac:dyDescent="0.3">
      <c r="B683" s="134"/>
      <c r="D683" s="134"/>
      <c r="N683" s="132" t="s">
        <v>266</v>
      </c>
    </row>
    <row r="684" spans="1:14" ht="15.6" x14ac:dyDescent="0.3">
      <c r="B684" s="134"/>
      <c r="D684" s="134"/>
      <c r="N684" s="137" t="s">
        <v>3690</v>
      </c>
    </row>
    <row r="685" spans="1:14" x14ac:dyDescent="0.3">
      <c r="B685" s="134"/>
      <c r="D685" s="134"/>
    </row>
    <row r="686" spans="1:14" x14ac:dyDescent="0.3">
      <c r="A686">
        <v>685</v>
      </c>
      <c r="B686" s="134"/>
      <c r="D686" s="134"/>
      <c r="N686" s="135" t="s">
        <v>3691</v>
      </c>
    </row>
    <row r="687" spans="1:14" x14ac:dyDescent="0.3">
      <c r="B687" s="134"/>
      <c r="D687" s="134"/>
      <c r="N687" s="135" t="s">
        <v>3692</v>
      </c>
    </row>
    <row r="688" spans="1:14" x14ac:dyDescent="0.3">
      <c r="B688" s="134"/>
      <c r="D688" s="134"/>
      <c r="N688" s="135" t="s">
        <v>3693</v>
      </c>
    </row>
    <row r="689" spans="1:14" x14ac:dyDescent="0.3">
      <c r="B689" s="134"/>
      <c r="D689" s="134"/>
      <c r="N689" s="135" t="s">
        <v>3694</v>
      </c>
    </row>
    <row r="690" spans="1:14" x14ac:dyDescent="0.3">
      <c r="B690" s="134"/>
      <c r="D690" s="134"/>
      <c r="N690" s="132" t="s">
        <v>272</v>
      </c>
    </row>
    <row r="691" spans="1:14" x14ac:dyDescent="0.3">
      <c r="A691">
        <v>690</v>
      </c>
      <c r="B691" s="134"/>
      <c r="D691" s="134"/>
      <c r="N691" s="135" t="s">
        <v>3695</v>
      </c>
    </row>
    <row r="692" spans="1:14" x14ac:dyDescent="0.3">
      <c r="B692" s="134"/>
      <c r="D692" s="134"/>
      <c r="N692" s="132" t="s">
        <v>2621</v>
      </c>
    </row>
    <row r="693" spans="1:14" x14ac:dyDescent="0.3">
      <c r="B693" s="134"/>
      <c r="D693" s="134"/>
      <c r="N693" s="132" t="s">
        <v>3316</v>
      </c>
    </row>
    <row r="694" spans="1:14" x14ac:dyDescent="0.3">
      <c r="B694" s="134"/>
      <c r="D694" s="134"/>
      <c r="N694" s="132" t="s">
        <v>2621</v>
      </c>
    </row>
    <row r="695" spans="1:14" x14ac:dyDescent="0.3">
      <c r="B695" s="134"/>
      <c r="D695" s="134"/>
      <c r="N695" s="135" t="s">
        <v>3696</v>
      </c>
    </row>
    <row r="696" spans="1:14" x14ac:dyDescent="0.3">
      <c r="A696">
        <v>695</v>
      </c>
      <c r="B696" s="134"/>
      <c r="D696" s="134"/>
      <c r="N696" s="132" t="s">
        <v>266</v>
      </c>
    </row>
    <row r="697" spans="1:14" ht="15.6" x14ac:dyDescent="0.3">
      <c r="B697" s="134"/>
      <c r="D697" s="134"/>
      <c r="N697" s="138" t="s">
        <v>3697</v>
      </c>
    </row>
    <row r="698" spans="1:14" ht="30.6" x14ac:dyDescent="0.3">
      <c r="B698" s="134"/>
      <c r="D698" s="134"/>
      <c r="N698" s="138" t="s">
        <v>3698</v>
      </c>
    </row>
    <row r="699" spans="1:14" x14ac:dyDescent="0.3">
      <c r="B699" s="134"/>
      <c r="D699" s="134"/>
      <c r="N699" s="132" t="s">
        <v>263</v>
      </c>
    </row>
    <row r="700" spans="1:14" x14ac:dyDescent="0.3">
      <c r="B700" s="134"/>
      <c r="D700" s="134"/>
      <c r="N700" s="132" t="s">
        <v>263</v>
      </c>
    </row>
    <row r="701" spans="1:14" ht="27" x14ac:dyDescent="0.3">
      <c r="A701">
        <v>700</v>
      </c>
      <c r="B701" s="134"/>
      <c r="D701" s="134"/>
      <c r="N701" s="135" t="s">
        <v>3699</v>
      </c>
    </row>
    <row r="702" spans="1:14" ht="27" x14ac:dyDescent="0.3">
      <c r="B702" s="134"/>
      <c r="D702" s="134"/>
      <c r="N702" s="135" t="s">
        <v>3700</v>
      </c>
    </row>
    <row r="703" spans="1:14" x14ac:dyDescent="0.3">
      <c r="B703" s="134"/>
      <c r="D703" s="134"/>
      <c r="N703" s="135" t="s">
        <v>3701</v>
      </c>
    </row>
    <row r="704" spans="1:14" x14ac:dyDescent="0.3">
      <c r="B704" s="134"/>
      <c r="D704" s="134"/>
      <c r="N704" s="135" t="s">
        <v>3702</v>
      </c>
    </row>
    <row r="705" spans="1:14" x14ac:dyDescent="0.3">
      <c r="B705" s="134"/>
      <c r="D705" s="134"/>
      <c r="N705" s="135" t="s">
        <v>3703</v>
      </c>
    </row>
    <row r="706" spans="1:14" x14ac:dyDescent="0.3">
      <c r="A706">
        <v>705</v>
      </c>
      <c r="B706" s="134"/>
      <c r="D706" s="134"/>
      <c r="N706" s="135" t="s">
        <v>3704</v>
      </c>
    </row>
    <row r="707" spans="1:14" ht="15.6" x14ac:dyDescent="0.3">
      <c r="B707" s="134"/>
      <c r="D707" s="134"/>
      <c r="N707" s="138" t="s">
        <v>3705</v>
      </c>
    </row>
    <row r="708" spans="1:14" x14ac:dyDescent="0.3">
      <c r="B708" s="134"/>
      <c r="D708" s="134"/>
      <c r="N708" s="132" t="s">
        <v>2621</v>
      </c>
    </row>
    <row r="709" spans="1:14" x14ac:dyDescent="0.3">
      <c r="B709" s="134"/>
      <c r="D709" s="134"/>
      <c r="N709" s="135" t="s">
        <v>3706</v>
      </c>
    </row>
    <row r="710" spans="1:14" ht="16.8" x14ac:dyDescent="0.3">
      <c r="B710" s="134"/>
      <c r="D710" s="134"/>
      <c r="N710" s="141" t="s">
        <v>3318</v>
      </c>
    </row>
    <row r="711" spans="1:14" x14ac:dyDescent="0.3">
      <c r="A711">
        <v>710</v>
      </c>
      <c r="B711" s="134"/>
      <c r="D711" s="134"/>
    </row>
    <row r="712" spans="1:14" x14ac:dyDescent="0.3">
      <c r="B712" s="134"/>
      <c r="D712" s="134"/>
    </row>
    <row r="713" spans="1:14" ht="15.6" x14ac:dyDescent="0.3">
      <c r="B713" s="134"/>
      <c r="D713" s="134"/>
      <c r="N713" s="137" t="s">
        <v>3707</v>
      </c>
    </row>
    <row r="714" spans="1:14" x14ac:dyDescent="0.3">
      <c r="B714" s="134"/>
      <c r="D714" s="134"/>
    </row>
    <row r="715" spans="1:14" x14ac:dyDescent="0.3">
      <c r="B715" s="134"/>
      <c r="D715" s="134"/>
      <c r="N715" s="135" t="s">
        <v>3708</v>
      </c>
    </row>
    <row r="716" spans="1:14" x14ac:dyDescent="0.3">
      <c r="A716">
        <v>715</v>
      </c>
      <c r="B716" s="134"/>
      <c r="D716" s="134"/>
      <c r="N716" s="135" t="s">
        <v>3709</v>
      </c>
    </row>
    <row r="717" spans="1:14" x14ac:dyDescent="0.3">
      <c r="B717" s="134"/>
      <c r="D717" s="134"/>
      <c r="N717" s="135" t="s">
        <v>3348</v>
      </c>
    </row>
    <row r="718" spans="1:14" x14ac:dyDescent="0.3">
      <c r="B718" s="134"/>
      <c r="D718" s="134"/>
      <c r="N718" s="135" t="s">
        <v>3504</v>
      </c>
    </row>
    <row r="719" spans="1:14" x14ac:dyDescent="0.3">
      <c r="B719" s="134"/>
      <c r="D719" s="134"/>
      <c r="N719" s="132" t="s">
        <v>272</v>
      </c>
    </row>
    <row r="720" spans="1:14" x14ac:dyDescent="0.3">
      <c r="B720" s="134"/>
      <c r="D720" s="134"/>
      <c r="N720" s="132" t="s">
        <v>2621</v>
      </c>
    </row>
    <row r="721" spans="1:14" x14ac:dyDescent="0.3">
      <c r="A721">
        <v>720</v>
      </c>
      <c r="B721" s="134"/>
      <c r="D721" s="134"/>
      <c r="N721" s="132" t="s">
        <v>2621</v>
      </c>
    </row>
    <row r="722" spans="1:14" x14ac:dyDescent="0.3">
      <c r="B722" s="134"/>
      <c r="D722" s="134"/>
      <c r="N722" s="135" t="s">
        <v>3710</v>
      </c>
    </row>
    <row r="723" spans="1:14" x14ac:dyDescent="0.3">
      <c r="B723" s="134"/>
      <c r="D723" s="134"/>
      <c r="N723" s="132" t="s">
        <v>3316</v>
      </c>
    </row>
    <row r="724" spans="1:14" x14ac:dyDescent="0.3">
      <c r="B724" s="134"/>
      <c r="D724" s="134"/>
      <c r="N724" s="132" t="s">
        <v>2621</v>
      </c>
    </row>
    <row r="725" spans="1:14" x14ac:dyDescent="0.3">
      <c r="B725" s="134"/>
      <c r="D725" s="134"/>
      <c r="N725" s="132" t="s">
        <v>2621</v>
      </c>
    </row>
    <row r="726" spans="1:14" x14ac:dyDescent="0.3">
      <c r="A726">
        <v>725</v>
      </c>
      <c r="B726" s="134"/>
      <c r="D726" s="134"/>
      <c r="N726" s="135" t="s">
        <v>3711</v>
      </c>
    </row>
    <row r="727" spans="1:14" x14ac:dyDescent="0.3">
      <c r="B727" s="134"/>
      <c r="D727" s="134"/>
      <c r="N727" s="132" t="s">
        <v>266</v>
      </c>
    </row>
    <row r="728" spans="1:14" ht="15.6" x14ac:dyDescent="0.3">
      <c r="B728" s="134"/>
      <c r="D728" s="134"/>
      <c r="N728" s="138" t="s">
        <v>3697</v>
      </c>
    </row>
    <row r="729" spans="1:14" ht="30.6" x14ac:dyDescent="0.3">
      <c r="B729" s="134"/>
      <c r="D729" s="134"/>
      <c r="N729" s="138" t="s">
        <v>3698</v>
      </c>
    </row>
    <row r="730" spans="1:14" x14ac:dyDescent="0.3">
      <c r="B730" s="134"/>
      <c r="D730" s="134"/>
      <c r="N730" s="132" t="s">
        <v>263</v>
      </c>
    </row>
    <row r="731" spans="1:14" x14ac:dyDescent="0.3">
      <c r="A731">
        <v>730</v>
      </c>
      <c r="B731" s="134"/>
      <c r="D731" s="134"/>
      <c r="N731" s="132" t="s">
        <v>263</v>
      </c>
    </row>
    <row r="732" spans="1:14" ht="27" x14ac:dyDescent="0.3">
      <c r="B732" s="134"/>
      <c r="D732" s="134"/>
      <c r="N732" s="135" t="s">
        <v>3712</v>
      </c>
    </row>
    <row r="733" spans="1:14" ht="27" x14ac:dyDescent="0.3">
      <c r="B733" s="134"/>
      <c r="D733" s="134"/>
      <c r="N733" s="135" t="s">
        <v>3700</v>
      </c>
    </row>
    <row r="734" spans="1:14" x14ac:dyDescent="0.3">
      <c r="B734" s="134"/>
      <c r="D734" s="134"/>
      <c r="N734" s="135" t="s">
        <v>3701</v>
      </c>
    </row>
    <row r="735" spans="1:14" x14ac:dyDescent="0.3">
      <c r="B735" s="134"/>
      <c r="D735" s="134"/>
      <c r="N735" s="135" t="s">
        <v>3713</v>
      </c>
    </row>
    <row r="736" spans="1:14" x14ac:dyDescent="0.3">
      <c r="A736">
        <v>735</v>
      </c>
      <c r="B736" s="134"/>
      <c r="D736" s="134"/>
      <c r="N736" s="135" t="s">
        <v>3714</v>
      </c>
    </row>
    <row r="737" spans="1:14" x14ac:dyDescent="0.3">
      <c r="B737" s="134"/>
      <c r="D737" s="134"/>
      <c r="N737" s="135" t="s">
        <v>3715</v>
      </c>
    </row>
    <row r="738" spans="1:14" ht="15.6" x14ac:dyDescent="0.3">
      <c r="B738" s="134"/>
      <c r="D738" s="134"/>
      <c r="N738" s="138" t="s">
        <v>3705</v>
      </c>
    </row>
    <row r="739" spans="1:14" x14ac:dyDescent="0.3">
      <c r="B739" s="134"/>
      <c r="D739" s="134"/>
      <c r="N739" s="132" t="s">
        <v>2621</v>
      </c>
    </row>
    <row r="740" spans="1:14" x14ac:dyDescent="0.3">
      <c r="B740" s="134"/>
      <c r="D740" s="134"/>
      <c r="N740" s="135" t="s">
        <v>3706</v>
      </c>
    </row>
    <row r="741" spans="1:14" ht="16.8" x14ac:dyDescent="0.3">
      <c r="A741">
        <v>740</v>
      </c>
      <c r="B741" s="134"/>
      <c r="D741" s="134"/>
      <c r="N741" s="141" t="s">
        <v>3318</v>
      </c>
    </row>
    <row r="742" spans="1:14" x14ac:dyDescent="0.3">
      <c r="B742" s="134"/>
      <c r="D742" s="134"/>
    </row>
    <row r="743" spans="1:14" x14ac:dyDescent="0.3">
      <c r="B743" s="134"/>
      <c r="D743" s="134"/>
    </row>
    <row r="744" spans="1:14" x14ac:dyDescent="0.3">
      <c r="B744" s="134"/>
      <c r="D744" s="134"/>
    </row>
    <row r="745" spans="1:14" x14ac:dyDescent="0.3">
      <c r="B745" s="134"/>
      <c r="D745" s="134"/>
    </row>
  </sheetData>
  <pageMargins left="0.7" right="0.7" top="0.75" bottom="0.75" header="0.3" footer="0.3"/>
  <rowBreaks count="7" manualBreakCount="7">
    <brk id="248" max="16383" man="1"/>
    <brk id="269" max="16383" man="1"/>
    <brk id="299" max="16383" man="1"/>
    <brk id="581" max="16383" man="1"/>
    <brk id="681" max="16383" man="1"/>
    <brk id="709" max="16383" man="1"/>
    <brk id="740" max="16383" man="1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Btn">
              <controlPr defaultSize="0" print="0" autoFill="0" autoPict="0" macro="[0]!SetUpForPrint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Btn1">
              <controlPr defaultSize="0" print="0" autoFill="0" autoPict="0" macro="[0]!PrintSetup_Click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ribbon>
    <tabs>
      <tab idMso="TabDeveloper">
        <group id="DocumentationTools" label="Doc Tools">
          <button id="PrintComponent" label="Print Comp" imageMso="ConvertTableToText" size="large" onAction="CallbackPrintComponen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E0BFFE6C-1EF6-4747-A690-008D511ABDA1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MacroList</vt:lpstr>
      <vt:lpstr>Start Sheet</vt:lpstr>
      <vt:lpstr>Color Sheet</vt:lpstr>
      <vt:lpstr>ShapeList</vt:lpstr>
      <vt:lpstr>Imported Module Play</vt:lpstr>
      <vt:lpstr>Subroutine Map</vt:lpstr>
      <vt:lpstr>Notes</vt:lpstr>
      <vt:lpstr>Function List</vt:lpstr>
      <vt:lpstr>Sub List</vt:lpstr>
      <vt:lpstr>sheet 3</vt:lpstr>
      <vt:lpstr>Help Sheet</vt:lpstr>
      <vt:lpstr>Component Data</vt:lpstr>
      <vt:lpstr>Print Module</vt:lpstr>
      <vt:lpstr>ButtonMacros</vt:lpstr>
      <vt:lpstr>Cb_ModSz</vt:lpstr>
      <vt:lpstr>ColorIndex</vt:lpstr>
      <vt:lpstr>ColorIndx</vt:lpstr>
      <vt:lpstr>ColWidth</vt:lpstr>
      <vt:lpstr>ComponentNamesList</vt:lpstr>
      <vt:lpstr>FonrChoices</vt:lpstr>
      <vt:lpstr>Font_Sizes</vt:lpstr>
      <vt:lpstr>FontType</vt:lpstr>
      <vt:lpstr>Hdr_Footr</vt:lpstr>
      <vt:lpstr>MacrosAlpha</vt:lpstr>
      <vt:lpstr>Module</vt:lpstr>
      <vt:lpstr>'Imported Module Play'!Print_Area</vt:lpstr>
      <vt:lpstr>PrintCtlData</vt:lpstr>
      <vt:lpstr>PrintCtlMap</vt:lpstr>
      <vt:lpstr>PrintCtlNames</vt:lpstr>
      <vt:lpstr>PrntOrientation</vt:lpstr>
      <vt:lpstr>Yes_No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Print Selecte VB Component</dc:title>
  <dc:creator>Jim Horan</dc:creator>
  <dc:description>This allows you to select any of the VB Components in your spreadsheet and select colors for Subroutines, Functions, Loops and If's . It can also map a maximum of 2 embeded loops and 4 embeded If/Thens</dc:description>
  <cp:lastModifiedBy>Jim Horan</cp:lastModifiedBy>
  <cp:lastPrinted>2017-05-26T19:10:27Z</cp:lastPrinted>
  <dcterms:created xsi:type="dcterms:W3CDTF">2016-01-30T21:47:26Z</dcterms:created>
  <dcterms:modified xsi:type="dcterms:W3CDTF">2017-09-19T16:26:23Z</dcterms:modified>
</cp:coreProperties>
</file>